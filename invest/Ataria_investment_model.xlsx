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юме для инвестора" sheetId="1" state="visible" r:id="rId3"/>
    <sheet name="Допущения" sheetId="2" state="visible" r:id="rId4"/>
    <sheet name="План и ДДС" sheetId="3" state="visible" r:id="rId5"/>
    <sheet name="Юнит-экономика" sheetId="4" state="visible" r:id="rId6"/>
    <sheet name="Анализ продаж Kaspi" sheetId="5" state="visible" r:id="rId7"/>
    <sheet name="График платежей" sheetId="6" state="visible" r:id="rId8"/>
    <sheet name="Анализ маркетинга" sheetId="7" state="visible" r:id="rId9"/>
    <sheet name="Факт прибыли 2026" sheetId="8" state="visible" r:id="rId10"/>
    <sheet name="Сценарии" sheetId="9" state="visible" r:id="rId11"/>
    <sheet name="Риски и вопросы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ОЦЕНКА: ноябрь (11.11, Чёрная пятница) и декабрь (Новый год) выше, январь–февраль ниже. Истории продаж меньше года — уточнить.</t>
        </r>
      </text>
    </comment>
    <comment ref="A9" authorId="0">
      <text>
        <r>
          <rPr>
            <sz val="10"/>
            <rFont val="Arial"/>
            <family val="2"/>
          </rPr>
          <t xml:space="preserve">Ввод: график заказов. Учитывайте MOQ (комбайн 200 шт.) и срок поступления.</t>
        </r>
      </text>
    </comment>
    <comment ref="A20" authorId="0">
      <text>
        <r>
          <rPr>
            <sz val="10"/>
            <rFont val="Arial"/>
            <family val="2"/>
          </rPr>
          <t xml:space="preserve">Ввод: график заказов. Учитывайте MOQ (комбайн 200 шт.) и срок поступления.</t>
        </r>
      </text>
    </comment>
    <comment ref="A31" authorId="0">
      <text>
        <r>
          <rPr>
            <sz val="10"/>
            <rFont val="Arial"/>
            <family val="2"/>
          </rPr>
          <t xml:space="preserve">Ввод: график заказов. Учитывайте MOQ (комбайн 200 шт.) и срок поступления.</t>
        </r>
      </text>
    </comment>
  </commentList>
</comments>
</file>

<file path=xl/sharedStrings.xml><?xml version="1.0" encoding="utf-8"?>
<sst xmlns="http://schemas.openxmlformats.org/spreadsheetml/2006/main" count="481" uniqueCount="335">
  <si>
    <t xml:space="preserve">ATARIA — инвестиционное предложение (резюме)</t>
  </si>
  <si>
    <t xml:space="preserve">Займ на закупку кухонных комбайнов AT-SM23 и ортопедических подушек для продажи на Kaspi.kz и в Instagram. Все цифры — из модели, меняются вместе с «Допущениями».</t>
  </si>
  <si>
    <t xml:space="preserve">ПАРАМЕТРЫ СДЕЛКИ</t>
  </si>
  <si>
    <t xml:space="preserve">Сумма займа всего, ₸</t>
  </si>
  <si>
    <t xml:space="preserve">   остаток 70% за готовую партию комбайнов (200 шт.), ₸</t>
  </si>
  <si>
    <t xml:space="preserve">   карго (доставка партии комбайнов), ₸</t>
  </si>
  <si>
    <t xml:space="preserve">   ортопедические подушки, ₸</t>
  </si>
  <si>
    <t xml:space="preserve">Вклад владельца (депозит 30% уже оплачен), ₸</t>
  </si>
  <si>
    <t xml:space="preserve">Ставка, % в месяц</t>
  </si>
  <si>
    <t xml:space="preserve">Проценты в месяц, ₸</t>
  </si>
  <si>
    <t xml:space="preserve">Срок, мес.</t>
  </si>
  <si>
    <t xml:space="preserve">Возврат тела займа</t>
  </si>
  <si>
    <t xml:space="preserve">одним платежом в последний месяц</t>
  </si>
  <si>
    <t xml:space="preserve">Итого инвестор получает, ₸</t>
  </si>
  <si>
    <t xml:space="preserve">   из них доход инвестора, ₸</t>
  </si>
  <si>
    <t xml:space="preserve">ИСТОРИЯ ПРОДАЖ (Kaspi, фев–окт 2026)</t>
  </si>
  <si>
    <t xml:space="preserve">Реальная выручка бренда Ataria, ₸</t>
  </si>
  <si>
    <t xml:space="preserve">Лучший месяц (август 2026), ₸</t>
  </si>
  <si>
    <t xml:space="preserve">Продано комбайнов AT-SM23 за 3 мес. с запуска, шт.</t>
  </si>
  <si>
    <t xml:space="preserve">Продано подушек, шт.</t>
  </si>
  <si>
    <t xml:space="preserve">Фактическая прибыль до пост. расходов (март–окт.), ₸</t>
  </si>
  <si>
    <t xml:space="preserve">ПРОГНОЗ ПРОЕКТА (12 мес., выбранный сценарий)</t>
  </si>
  <si>
    <t xml:space="preserve">Сценарий</t>
  </si>
  <si>
    <t xml:space="preserve">Выручка проекта, ₸</t>
  </si>
  <si>
    <t xml:space="preserve">Продано комбайнов, шт.</t>
  </si>
  <si>
    <t xml:space="preserve">Чистая прибыль после выплаты процентов, ₸</t>
  </si>
  <si>
    <t xml:space="preserve">Деньги проекта после полного возврата займа, ₸</t>
  </si>
  <si>
    <t xml:space="preserve">+ товар на складе по себестоимости, ₸</t>
  </si>
  <si>
    <t xml:space="preserve">Минимальный остаток денег за период, ₸</t>
  </si>
  <si>
    <t xml:space="preserve">Минимальное покрытие процентов прибылью, x</t>
  </si>
  <si>
    <t xml:space="preserve">ЮНИТ-ЭКОНОМИКА</t>
  </si>
  <si>
    <t xml:space="preserve">Комбайн: прибыль с 1 шт. после всех переменных расходов, ₸</t>
  </si>
  <si>
    <t xml:space="preserve">Комбайн: наценка на себестоимость</t>
  </si>
  <si>
    <t xml:space="preserve">Подушка 35×60: прибыль с 1 шт., ₸</t>
  </si>
  <si>
    <t xml:space="preserve">Подушка 40×60: прибыль с 1 шт., ₸</t>
  </si>
  <si>
    <t xml:space="preserve">Подушки: наценка на себестоимость</t>
  </si>
  <si>
    <t xml:space="preserve">ATARIA — допущения инвестиционной модели</t>
  </si>
  <si>
    <t xml:space="preserve">Синий шрифт = ввод (можно менять). Жёлтая заливка = цифра-оценка, которую нужно подтвердить. Источник каждой цифры — в столбце D.</t>
  </si>
  <si>
    <t xml:space="preserve">1. Займ инвестора</t>
  </si>
  <si>
    <t xml:space="preserve">Остаток 70% за готовую партию комбайнов (200 шт.), ₸</t>
  </si>
  <si>
    <t xml:space="preserve">Со слов владельца: партия 200 шт. готова, депозит 30% (~2,5 млн) владелец уже оплатил сам</t>
  </si>
  <si>
    <t xml:space="preserve">Оплата карго (доставка партии комбайнов), ₸</t>
  </si>
  <si>
    <t xml:space="preserve">Со слов владельца: 1,5–2 млн через ~2 недели после оплаты остатка</t>
  </si>
  <si>
    <t xml:space="preserve">Вклад владельца — уже оплаченный депозит 30%, ₸</t>
  </si>
  <si>
    <t xml:space="preserve">Со слов владельца: 2–2,5 млн (собственные деньги, не из займа)</t>
  </si>
  <si>
    <t xml:space="preserve">Сумма займа на подушки, ₸</t>
  </si>
  <si>
    <t xml:space="preserve">Со слов владельца: 1–2 млн, в базе взята середина</t>
  </si>
  <si>
    <t xml:space="preserve">Резервный транш 2 (при необходимости), ₸</t>
  </si>
  <si>
    <t xml:space="preserve">По расчёту модели не нужен: дозакупки оплачиваются из выручки. Можно задать для стресс-сценария</t>
  </si>
  <si>
    <t xml:space="preserve">Месяц получения транша 2</t>
  </si>
  <si>
    <t xml:space="preserve">Месяц, когда нужно оплатить остаток 70% за 2-ю партию</t>
  </si>
  <si>
    <t xml:space="preserve">Со слов владельца: 4% ежемесячно, тело — в конце срока</t>
  </si>
  <si>
    <t xml:space="preserve">Срок займа, мес.</t>
  </si>
  <si>
    <t xml:space="preserve">Со слов владельца: от 1 года (модель рассчитана на 12 мес.)</t>
  </si>
  <si>
    <t xml:space="preserve">2. Сценарий</t>
  </si>
  <si>
    <t xml:space="preserve">Выбранный сценарий (1 = пессимист., 2 = базовый, 3 = оптимист.)</t>
  </si>
  <si>
    <t xml:space="preserve">Переключатель — меняет объём продаж во всей модели</t>
  </si>
  <si>
    <t xml:space="preserve">Множитель объёма продаж — пессимистичный</t>
  </si>
  <si>
    <t xml:space="preserve">Пессимист: −30% к базе (как спад сентября vs августа); оптимист: +30% (уровень августа)</t>
  </si>
  <si>
    <t xml:space="preserve">   — базовый</t>
  </si>
  <si>
    <t xml:space="preserve">   — оптимистичный</t>
  </si>
  <si>
    <t xml:space="preserve">Применяемый множитель</t>
  </si>
  <si>
    <t xml:space="preserve">3. Товары (себестоимость с доставкой до РК, цена продажи, спрос)</t>
  </si>
  <si>
    <t xml:space="preserve">Показатель</t>
  </si>
  <si>
    <t xml:space="preserve">Кухонный комбайн AT-SM23</t>
  </si>
  <si>
    <t xml:space="preserve">Подушка 35×60</t>
  </si>
  <si>
    <t xml:space="preserve">Подушка 40×60</t>
  </si>
  <si>
    <t xml:space="preserve">Источник</t>
  </si>
  <si>
    <t xml:space="preserve">Себестоимость единицы (с доставкой), ₸</t>
  </si>
  <si>
    <t xml:space="preserve">Со слов владельца: комбайн 50 000 (с доставкой), подушка 35×60 — 4 000, 40×60 — 5 000, 40×61 — 5 300</t>
  </si>
  <si>
    <t xml:space="preserve">Цена продажи на Kaspi (средняя фактическая за всё время), ₸</t>
  </si>
  <si>
    <t xml:space="preserve">Kaspi: средневзвешенная цена всех реальных продаж (комбайн 99 990 → 129 990, подушки 9 990 → 17 990). Текущие цены выше — это запас прочности</t>
  </si>
  <si>
    <t xml:space="preserve">Базовый спрос, шт./мес.</t>
  </si>
  <si>
    <t xml:space="preserve">Kaspi: комбайн авг 85 / сен 55 / окт ~34 за мес. при цене 125 тыс.; подушки 35×60 ≈ 100, 40×60 (вкл. 40×61) ≈ 95 в сентябре</t>
  </si>
  <si>
    <t xml:space="preserve">Комиссия Kaspi, % от цены</t>
  </si>
  <si>
    <t xml:space="preserve">Со слов владельца: факт Kaspi — 10,9% техника, 11,3% подушки</t>
  </si>
  <si>
    <t xml:space="preserve">Маркетинг (реклама Kaspi + бонусы + отзывы), % от выручки</t>
  </si>
  <si>
    <t xml:space="preserve">Факт янв–окт 2026 по отчётам Kaspi (лист «Анализ маркетинга»): комбайн 22%, подушки 21% от реальной выручки</t>
  </si>
  <si>
    <t xml:space="preserve">Доставка Kaspi за счёт продавца, ₸/шт.</t>
  </si>
  <si>
    <t xml:space="preserve">Kaspi: «Стоимость доставки для продавца», среднее по фактическим выдачам</t>
  </si>
  <si>
    <t xml:space="preserve">Возвраты, % от выручки</t>
  </si>
  <si>
    <t xml:space="preserve">Kaspi: доля возвратов по реальным заказам (комбайн 2,5%, подушки 0,1–0,4%)</t>
  </si>
  <si>
    <t xml:space="preserve">Производство: оплата остатка 70% через, мес.</t>
  </si>
  <si>
    <t xml:space="preserve">Со слов владельца: комбайн 45–60 дн., подушки 15–20 дн.</t>
  </si>
  <si>
    <t xml:space="preserve">Поступление на склад после заказа, мес.</t>
  </si>
  <si>
    <t xml:space="preserve">Производство + доставка 20–25 дн., с запасом</t>
  </si>
  <si>
    <t xml:space="preserve">Минимальная партия (MOQ), шт.</t>
  </si>
  <si>
    <t xml:space="preserve">Со слов владельца</t>
  </si>
  <si>
    <t xml:space="preserve">4. Общие расходы</t>
  </si>
  <si>
    <t xml:space="preserve">Предоплата поставщику при заказе, %</t>
  </si>
  <si>
    <t xml:space="preserve">Со слов владельца: депозит 30%, остаток — перед отгрузкой</t>
  </si>
  <si>
    <t xml:space="preserve">Налог (упрощённая декларация), % от выручки</t>
  </si>
  <si>
    <t xml:space="preserve">Со слов владельца: ИП на упрощённой декларации, налог 4% от выручки</t>
  </si>
  <si>
    <t xml:space="preserve">Постоянные расходы (персонал, склад, сервисы), ₸/мес.</t>
  </si>
  <si>
    <t xml:space="preserve">Со слов владельца: до 300 000 ₸ в месяц</t>
  </si>
  <si>
    <t xml:space="preserve">Готовая партия комбайнов (поступает в мес. 1), шт.</t>
  </si>
  <si>
    <t xml:space="preserve">Со слов владельца: партия = MOQ 200 шт. по 50 000 ₸ (депозит + остаток + карго ≈ 10 млн)</t>
  </si>
  <si>
    <t xml:space="preserve">ATARIA — план продаж и движение денег по проекту (12 мес.)</t>
  </si>
  <si>
    <t xml:space="preserve">Месяц 0 — получение займа и оплата закупок. Продажи — только товар, закупленный в рамках проекта (текущие остатки не учтены). Жёлтые строки «Заказ у поставщика» — график закупок, можно менять.</t>
  </si>
  <si>
    <t xml:space="preserve">Ед.</t>
  </si>
  <si>
    <t xml:space="preserve">Мес. 0
окт 26</t>
  </si>
  <si>
    <t xml:space="preserve">Мес. 1
ноя 26</t>
  </si>
  <si>
    <t xml:space="preserve">Мес. 2
дек 26</t>
  </si>
  <si>
    <t xml:space="preserve">Мес. 3
янв 27</t>
  </si>
  <si>
    <t xml:space="preserve">Мес. 4
фев 27</t>
  </si>
  <si>
    <t xml:space="preserve">Мес. 5
мар 27</t>
  </si>
  <si>
    <t xml:space="preserve">Мес. 6
апр 27</t>
  </si>
  <si>
    <t xml:space="preserve">Мес. 7
май 27</t>
  </si>
  <si>
    <t xml:space="preserve">Мес. 8
июн 27</t>
  </si>
  <si>
    <t xml:space="preserve">Мес. 9
июл 27</t>
  </si>
  <si>
    <t xml:space="preserve">Мес. 10
авг 27</t>
  </si>
  <si>
    <t xml:space="preserve">Мес. 11
сен 27</t>
  </si>
  <si>
    <t xml:space="preserve">Мес. 12
окт 27</t>
  </si>
  <si>
    <t xml:space="preserve">Итого</t>
  </si>
  <si>
    <t xml:space="preserve">Сезонность</t>
  </si>
  <si>
    <t xml:space="preserve">Коэффициент сезонности спроса</t>
  </si>
  <si>
    <t xml:space="preserve">x</t>
  </si>
  <si>
    <t xml:space="preserve">Готовая партия (депозит 30% оплачен владельцем)</t>
  </si>
  <si>
    <t xml:space="preserve">шт.</t>
  </si>
  <si>
    <t xml:space="preserve">Заказ у поставщика</t>
  </si>
  <si>
    <t xml:space="preserve">Поступление на склад</t>
  </si>
  <si>
    <t xml:space="preserve">Остаток на начало месяца</t>
  </si>
  <si>
    <t xml:space="preserve">Спрос по плану</t>
  </si>
  <si>
    <t xml:space="preserve">Продажи (ограничены остатком)</t>
  </si>
  <si>
    <t xml:space="preserve">Остаток на конец месяца</t>
  </si>
  <si>
    <t xml:space="preserve">Выручка</t>
  </si>
  <si>
    <t xml:space="preserve">₸</t>
  </si>
  <si>
    <t xml:space="preserve">Оплата поставщику и карго</t>
  </si>
  <si>
    <t xml:space="preserve">Комиссия Kaspi + доставка + возвраты</t>
  </si>
  <si>
    <t xml:space="preserve">Валовая прибыль (выручка − себест. проданного − Kaspi)</t>
  </si>
  <si>
    <t xml:space="preserve">Итого по проекту</t>
  </si>
  <si>
    <t xml:space="preserve">Выручка всего</t>
  </si>
  <si>
    <t xml:space="preserve">Оплата поставщикам</t>
  </si>
  <si>
    <t xml:space="preserve">Комиссия Kaspi, доставка, возвраты</t>
  </si>
  <si>
    <t xml:space="preserve">Маркетинг (реклама Kaspi, бонусы, отзывы)</t>
  </si>
  <si>
    <t xml:space="preserve">Налог</t>
  </si>
  <si>
    <t xml:space="preserve">Постоянные расходы</t>
  </si>
  <si>
    <t xml:space="preserve">Операционный денежный поток (до инвестора)</t>
  </si>
  <si>
    <t xml:space="preserve">Финансирование</t>
  </si>
  <si>
    <t xml:space="preserve">Получение займа (транш 1 и транш 2)</t>
  </si>
  <si>
    <t xml:space="preserve">Остаток долга на начало месяца</t>
  </si>
  <si>
    <t xml:space="preserve">Проценты инвестору (4%/мес.)</t>
  </si>
  <si>
    <t xml:space="preserve">Чистый денежный поток</t>
  </si>
  <si>
    <t xml:space="preserve">Остаток денег проекта на конец месяца</t>
  </si>
  <si>
    <t xml:space="preserve">Прибыль (P&amp;L, без учёта закупок впрок)</t>
  </si>
  <si>
    <t xml:space="preserve">Чистая прибыль после процентов</t>
  </si>
  <si>
    <t xml:space="preserve">Покрытие процентов прибылью (прибыль до % / проценты)</t>
  </si>
  <si>
    <t xml:space="preserve">Накопленная чистая прибыль</t>
  </si>
  <si>
    <t xml:space="preserve">Итоги на конец мес. 12</t>
  </si>
  <si>
    <t xml:space="preserve">Деньги проекта после возврата займа, ₸</t>
  </si>
  <si>
    <t xml:space="preserve">Товар на складе по себестоимости, ₸</t>
  </si>
  <si>
    <t xml:space="preserve">ATARIA — юнит-экономика одной продажи на Kaspi</t>
  </si>
  <si>
    <t xml:space="preserve">Все цифры тянутся с листа «Допущения»</t>
  </si>
  <si>
    <t xml:space="preserve">Статья</t>
  </si>
  <si>
    <t xml:space="preserve">Цена продажи, ₸</t>
  </si>
  <si>
    <t xml:space="preserve">Себестоимость с доставкой, ₸</t>
  </si>
  <si>
    <t xml:space="preserve">Комиссия Kaspi, ₸</t>
  </si>
  <si>
    <t xml:space="preserve">Доставка Kaspi за счёт продавца, ₸</t>
  </si>
  <si>
    <t xml:space="preserve">Возвраты (резерв), ₸</t>
  </si>
  <si>
    <t xml:space="preserve">Налог, ₸</t>
  </si>
  <si>
    <t xml:space="preserve">Маркетинг, ₸</t>
  </si>
  <si>
    <t xml:space="preserve">Валовая маржа (цена − себестоимость), ₸</t>
  </si>
  <si>
    <t xml:space="preserve">Наценка на себестоимость, %</t>
  </si>
  <si>
    <t xml:space="preserve">Валовая маржа, % от цены</t>
  </si>
  <si>
    <t xml:space="preserve">Прибыль с единицы после всех переменных расходов, ₸</t>
  </si>
  <si>
    <t xml:space="preserve">Рентабельность продаж (чистая), %</t>
  </si>
  <si>
    <t xml:space="preserve">Доход на 1 ₸ вложенный в товар (за один оборот), ₸</t>
  </si>
  <si>
    <t xml:space="preserve">Цикл оборота денег: комбайн ≈ 3–4 мес. (производство 45–60 дн. + доставка 20–25 дн. + продажа), подушки ≈ 2–2,5 мес. За 12 мес. деньги в подушках оборачиваются ~4–5 раз, в комбайнах ~3 раза.</t>
  </si>
  <si>
    <t xml:space="preserve">Анализ продаж Kaspi, 24.02.2026 – 14.10.2026</t>
  </si>
  <si>
    <t xml:space="preserve">Источник: выгрузки «Архив заказов» Kaspi (ArchiveOrders_13–16), 4 532 строки, дубли между файлами удалены</t>
  </si>
  <si>
    <t xml:space="preserve">1. Общие итоги</t>
  </si>
  <si>
    <t xml:space="preserve">Сумма, ₸</t>
  </si>
  <si>
    <t xml:space="preserve">Заказов</t>
  </si>
  <si>
    <t xml:space="preserve">Выдано заказов всего по Kaspi (как в кабинете), ₸</t>
  </si>
  <si>
    <t xml:space="preserve">   из них технические заказы по 249–1 000 ₸ (самовыкупы), ₸</t>
  </si>
  <si>
    <t xml:space="preserve">Реальная выручка (без тех. заказов), ₸</t>
  </si>
  <si>
    <t xml:space="preserve">   в т.ч. бренд Ataria (комбайн, измельчители, подушки, аэрогриль), ₸</t>
  </si>
  <si>
    <t xml:space="preserve">   в т.ч. товары брата (не входят в проект), ₸</t>
  </si>
  <si>
    <t xml:space="preserve">2. Реальные продажи Ataria по месяцам (выданные заказы, без тех. заказов)</t>
  </si>
  <si>
    <t xml:space="preserve">Количество, шт.</t>
  </si>
  <si>
    <t xml:space="preserve">Товар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</si>
  <si>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</si>
  <si>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</si>
  <si>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</si>
  <si>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</si>
  <si>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</si>
  <si>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</si>
  <si>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</si>
  <si>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</si>
  <si>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Измельчитель AT-2300</t>
  </si>
  <si>
    <t xml:space="preserve">Измельчители AT-1100 / AT-1700</t>
  </si>
  <si>
    <t xml:space="preserve">Подушка 40×60 / 40×61</t>
  </si>
  <si>
    <t xml:space="preserve">Подушка 36×60 (по 29 990–44 990)</t>
  </si>
  <si>
    <t xml:space="preserve">Подушка 41×61 (по 27 990–29 990)</t>
  </si>
  <si>
    <t xml:space="preserve">Аэрогриль Ataria</t>
  </si>
  <si>
    <t xml:space="preserve">Выручка, ₸</t>
  </si>
  <si>
    <t xml:space="preserve">3. Средняя цена, доставка, отмены и возвраты (реальные заказы)</t>
  </si>
  <si>
    <t xml:space="preserve">Продано, шт.</t>
  </si>
  <si>
    <t xml:space="preserve">Средняя цена, ₸</t>
  </si>
  <si>
    <t xml:space="preserve">Доставка продавца, ₸/шт.</t>
  </si>
  <si>
    <t xml:space="preserve">Доля отмен</t>
  </si>
  <si>
    <t xml:space="preserve">Доля возвратов</t>
  </si>
  <si>
    <t xml:space="preserve">Доля продаж в кредит/рассрочку</t>
  </si>
  <si>
    <t xml:space="preserve">4. География (доля реальных заказов Ataria)</t>
  </si>
  <si>
    <t xml:space="preserve">г. Алматы</t>
  </si>
  <si>
    <t xml:space="preserve">г. Астана</t>
  </si>
  <si>
    <t xml:space="preserve">г. Караганда</t>
  </si>
  <si>
    <t xml:space="preserve">г. Шымкент</t>
  </si>
  <si>
    <t xml:space="preserve">г. Павлодар</t>
  </si>
  <si>
    <t xml:space="preserve">г. Усть-Каменогорск</t>
  </si>
  <si>
    <t xml:space="preserve">Остальные города</t>
  </si>
  <si>
    <t xml:space="preserve">Выводы:</t>
  </si>
  <si>
    <t xml:space="preserve">• Реальная выручка бренда Ataria за 7,5 мес. — 46.6 млн ₸; рост с 3,4 млн (апр) до 13,1 млн (авг) в месяц.</t>
  </si>
  <si>
    <t xml:space="preserve">• Главный драйвер — кухонный комбайн AT-SM23: запуск в июле, 170 шт. за 3 мес., 19 млн ₸ выручки (≈ 35% всей реальной выручки).</t>
  </si>
  <si>
    <t xml:space="preserve">• Подушки — стабильная база: ≈ 200 шт./мес., отмены 7–8%, возвратов почти нет.</t>
  </si>
  <si>
    <t xml:space="preserve">• В сентябре–октябре продажи комбайна и измельчителя AT-2300 снизились — вероятно из-за нехватки остатков и роста цены (уточнить).</t>
  </si>
  <si>
    <t xml:space="preserve">• 2 025 технических заказов по 249–1 000 ₸ (самовыкупы под отзывы/рейтинг) исключены — инвестору показываем только реальные продажи.</t>
  </si>
  <si>
    <t xml:space="preserve">График платежей инвестору</t>
  </si>
  <si>
    <t xml:space="preserve">Займ под 4% в месяц, проценты — ежемесячно, тело — одним платежом в конце срока</t>
  </si>
  <si>
    <t xml:space="preserve">Месяц</t>
  </si>
  <si>
    <t xml:space="preserve">Период</t>
  </si>
  <si>
    <t xml:space="preserve">Остаток долга на начало, ₸</t>
  </si>
  <si>
    <t xml:space="preserve">Проценты, ₸</t>
  </si>
  <si>
    <t xml:space="preserve">Возврат тела, ₸</t>
  </si>
  <si>
    <t xml:space="preserve">Итого платёж, ₸</t>
  </si>
  <si>
    <t xml:space="preserve">Остаток долга на конец, ₸</t>
  </si>
  <si>
    <t xml:space="preserve">ноя 26</t>
  </si>
  <si>
    <t xml:space="preserve">дек 26</t>
  </si>
  <si>
    <t xml:space="preserve">янв 27</t>
  </si>
  <si>
    <t xml:space="preserve">фев 27</t>
  </si>
  <si>
    <t xml:space="preserve">мар 27</t>
  </si>
  <si>
    <t xml:space="preserve">апр 27</t>
  </si>
  <si>
    <t xml:space="preserve">май 27</t>
  </si>
  <si>
    <t xml:space="preserve">июн 27</t>
  </si>
  <si>
    <t xml:space="preserve">июл 27</t>
  </si>
  <si>
    <t xml:space="preserve">авг 27</t>
  </si>
  <si>
    <t xml:space="preserve">сен 27</t>
  </si>
  <si>
    <t xml:space="preserve">окт 27</t>
  </si>
  <si>
    <t xml:space="preserve">Доходность инвестора</t>
  </si>
  <si>
    <t xml:space="preserve">Сумма займа, ₸</t>
  </si>
  <si>
    <t xml:space="preserve">Проценты за срок, ₸</t>
  </si>
  <si>
    <t xml:space="preserve">Возврат всего, ₸</t>
  </si>
  <si>
    <t xml:space="preserve">Доходность за срок, %</t>
  </si>
  <si>
    <t xml:space="preserve">Годовая ставка (простая), %</t>
  </si>
  <si>
    <t xml:space="preserve">Эффективная годовая (с реинвестированием процентов), %</t>
  </si>
  <si>
    <t xml:space="preserve">Анализ маркетинга Kaspi, 01.01–15.10.2026</t>
  </si>
  <si>
    <t xml:space="preserve">Источник: отчёты Kaspi — реклама (оплата за клик), бонусы покупателям, бонусы за отзывы, доп. рекламный отчёт (xlsx). Кампании «Жигер» = товары брата.</t>
  </si>
  <si>
    <t xml:space="preserve">Группа товаров</t>
  </si>
  <si>
    <t xml:space="preserve">Реклама Kaspi (клики), ₸</t>
  </si>
  <si>
    <t xml:space="preserve">Бонусы покупателям, ₸</t>
  </si>
  <si>
    <t xml:space="preserve">Бонусы за отзывы, ₸</t>
  </si>
  <si>
    <t xml:space="preserve">Доп. рекламный отчёт, ₸</t>
  </si>
  <si>
    <t xml:space="preserve">Маркетинг всего, ₸</t>
  </si>
  <si>
    <t xml:space="preserve">Реальная выручка, ₸</t>
  </si>
  <si>
    <t xml:space="preserve">Маркетинг, % от выручки</t>
  </si>
  <si>
    <t xml:space="preserve">Подушки (все размеры)</t>
  </si>
  <si>
    <t xml:space="preserve">Измельчители AT-2300 / 1100 / 1700</t>
  </si>
  <si>
    <t xml:space="preserve">Аэрогриль</t>
  </si>
  <si>
    <t xml:space="preserve">Товары брата («Жигер»)</t>
  </si>
  <si>
    <t xml:space="preserve">Прочие кампании (плазменная ручка и др.)</t>
  </si>
  <si>
    <t xml:space="preserve">Итого бренд Ataria (без брата)</t>
  </si>
  <si>
    <t xml:space="preserve">Ключевые кампании (реклама Kaspi)</t>
  </si>
  <si>
    <t xml:space="preserve">Кампания</t>
  </si>
  <si>
    <t xml:space="preserve">Расход, ₸</t>
  </si>
  <si>
    <t xml:space="preserve">Клики</t>
  </si>
  <si>
    <t xml:space="preserve">Цена клика, ₸</t>
  </si>
  <si>
    <t xml:space="preserve">Заказы</t>
  </si>
  <si>
    <t xml:space="preserve">Сумма заказов, ₸</t>
  </si>
  <si>
    <t xml:space="preserve">ДРР, %</t>
  </si>
  <si>
    <t xml:space="preserve">Конверсия клик→заказ</t>
  </si>
  <si>
    <t xml:space="preserve">Комбайн AT-SM23 2</t>
  </si>
  <si>
    <t xml:space="preserve">Подушка волна</t>
  </si>
  <si>
    <t xml:space="preserve">Подушка</t>
  </si>
  <si>
    <t xml:space="preserve">2300</t>
  </si>
  <si>
    <t xml:space="preserve">Комбайн AT-SM23</t>
  </si>
  <si>
    <t xml:space="preserve">At-1100</t>
  </si>
  <si>
    <t xml:space="preserve">At-170”</t>
  </si>
  <si>
    <t xml:space="preserve">Подушка шелк</t>
  </si>
  <si>
    <t xml:space="preserve">3+1 волна</t>
  </si>
  <si>
    <t xml:space="preserve">• Маркетинг бренда Ataria — около 9,9 млн ₸ за 9,5 мес., примерно 21% реальной выручки. Основная статья — реклама Kaspi с оплатой за клик (95% расходов).</t>
  </si>
  <si>
    <t xml:space="preserve">• Комбайн: клик стоит 325–400 ₸ (дороже всех), ДРР ≈ 22%. Это главный резерв: снижение ДРР до 15% даёт +8 000 ₸ прибыли с каждого комбайна.</t>
  </si>
  <si>
    <t xml:space="preserve">• Подушки: клик дешёвый (110–145 ₸), но конверсия 3–4%, ДРР 23–27%. Есть потенциал в Instagram-магазине и отзывах.</t>
  </si>
  <si>
    <t xml:space="preserve">• Бонусы за отзывы работают хорошо: 367 отзывов за 205 тыс. ₸, конверсия 22–36%.</t>
  </si>
  <si>
    <t xml:space="preserve">• Технические заказы (самовыкупы) не включены в маркетинг — их затраты незначительны, но в выручку они тоже не входят.</t>
  </si>
  <si>
    <t xml:space="preserve">Фактическая прибыль бренда Ataria, март–октябрь 2026</t>
  </si>
  <si>
    <t xml:space="preserve">Реальные продажи Kaspi (без самовыкупов и товаров брата) × себестоимость со слов владельца. Маркетинг — факт из отчётов Kaspi.</t>
  </si>
  <si>
    <t xml:space="preserve">Себестоимость ед., ₸</t>
  </si>
  <si>
    <t xml:space="preserve">Себестоимость всего, ₸</t>
  </si>
  <si>
    <t xml:space="preserve">Доставка, ₸</t>
  </si>
  <si>
    <t xml:space="preserve">Налог 4%, ₸</t>
  </si>
  <si>
    <t xml:space="preserve">Прибыль, ₸</t>
  </si>
  <si>
    <t xml:space="preserve">Маржа, %</t>
  </si>
  <si>
    <t xml:space="preserve">Наценка, %</t>
  </si>
  <si>
    <t xml:space="preserve">Подушка 40×61</t>
  </si>
  <si>
    <t xml:space="preserve">Набор 36×60 (4 шт.)</t>
  </si>
  <si>
    <t xml:space="preserve">Набор 41×61 (3 шт.)</t>
  </si>
  <si>
    <t xml:space="preserve">Итого бренд Ataria</t>
  </si>
  <si>
    <t xml:space="preserve">Минус постоянные расходы (8 мес. × 300 000), ₸</t>
  </si>
  <si>
    <t xml:space="preserve">Чистая прибыль бизнеса Ataria за 2026 г., ₸</t>
  </si>
  <si>
    <t xml:space="preserve">Как менялась средняя цена продажи по месяцам, ₸</t>
  </si>
  <si>
    <t xml:space="preserve">Сценарии проекта</t>
  </si>
  <si>
    <t xml:space="preserve">Значения получены переключением сценария в модели (лист «Допущения»). В пессимистичном сценарии одна дозакупка комбайнов в мес. 4 вместо двух.</t>
  </si>
  <si>
    <t xml:space="preserve">Пессимистичный (−30%)</t>
  </si>
  <si>
    <t xml:space="preserve">Базовый</t>
  </si>
  <si>
    <t xml:space="preserve">Оптимистичный (+30%)</t>
  </si>
  <si>
    <t xml:space="preserve">Чистая прибыль после процентов, ₸</t>
  </si>
  <si>
    <t xml:space="preserve">Деньги после полного возврата займа, ₸</t>
  </si>
  <si>
    <t xml:space="preserve">Итог для владельца (деньги + товар), ₸</t>
  </si>
  <si>
    <t xml:space="preserve">Выплачено инвестору всего, ₸</t>
  </si>
  <si>
    <t xml:space="preserve">Вывод: в базовом и оптимистичном сценариях займ возвращается из денег проекта с запасом. В пессимистичном делается одна дозакупка (мес. 4), займ также возвращается полностью; в мес. 6 короткий минус ≈ 0,2 млн перекрывается текущими остатками товара владельца.</t>
  </si>
  <si>
    <t xml:space="preserve">Риски проекта и как их снижаем</t>
  </si>
  <si>
    <t xml:space="preserve">Риск</t>
  </si>
  <si>
    <t xml:space="preserve">Влияние</t>
  </si>
  <si>
    <t xml:space="preserve">Что делаем</t>
  </si>
  <si>
    <t xml:space="preserve">Высокая стоимость маркетинга: 22% выручки по комбайну.</t>
  </si>
  <si>
    <t xml:space="preserve">Прибыль с комбайна ≈ 13 тыс. ₸ при средней цене. При росте цены клика прибыль падает.</t>
  </si>
  <si>
    <t xml:space="preserve">Цель — ДРР 15%: отзывы, Instagram-магазин, повторные продажи. При ДРР 15% прибыль проекта растёт примерно на 4 млн ₸.</t>
  </si>
  <si>
    <t xml:space="preserve">MOQ комбайна 200 шт. = 10 млн ₸ одной партией, цикл 2,5–3 мес.</t>
  </si>
  <si>
    <t xml:space="preserve">Крупные платежи поставщику в месяцы дозакупки.</t>
  </si>
  <si>
    <t xml:space="preserve">Дозакупки (мес. 2 и 6) оплачиваются из выручки. 2-я дозакупка — только при продажах ≥ 45 шт./мес.</t>
  </si>
  <si>
    <t xml:space="preserve">Зависимость от одной площадки (Kaspi — 100% продаж).</t>
  </si>
  <si>
    <t xml:space="preserve">Изменение комиссий или правил Kaspi напрямую бьёт по марже.</t>
  </si>
  <si>
    <t xml:space="preserve">Instagram-магазин как второй канал.</t>
  </si>
  <si>
    <t xml:space="preserve">Технические заказы (самовыкупы) для рейтинга.</t>
  </si>
  <si>
    <t xml:space="preserve">Kaspi может их выявить и наложить санкции на магазин.</t>
  </si>
  <si>
    <t xml:space="preserve">Сократить, перейти на бонусы за отзывы (уже работают: 367 отзывов).</t>
  </si>
  <si>
    <t xml:space="preserve">Падение спроса и сезонность (январь–февраль).</t>
  </si>
  <si>
    <t xml:space="preserve">В пессимистичном сценарии склад продаётся дольше.</t>
  </si>
  <si>
    <t xml:space="preserve">Гибкий график закупок, акции 11.11 и Новый год.</t>
  </si>
  <si>
    <t xml:space="preserve">Курс валют и цена у поставщика.</t>
  </si>
  <si>
    <t xml:space="preserve">Себестоимость 50 000 ₸ может вырасти.</t>
  </si>
  <si>
    <t xml:space="preserve">Фиксировать цену в договоре при внесении депозита.</t>
  </si>
  <si>
    <t xml:space="preserve">Что нужно подтвердить владельцу (жёлтые ячейки в «Допущениях»)</t>
  </si>
  <si>
    <t xml:space="preserve">1. Цифры подтверждены владельцем: себестоимость, комиссии Kaspi, карго 1,5 млн, постоянные расходы до 300 000 ₸/мес.</t>
  </si>
  <si>
    <t xml:space="preserve">2. Налоговый режим: ИП на упрощённой декларации, налог 4% от выручки заложен в расчёт.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</si>
</sst>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0"/>
    <numFmt numFmtId="168" formatCode="0.0\x"/>
    <numFmt numFmtId="169" formatCode="0.00\x"/>
    <numFmt numFmtId="170" formatCode="0.00\x"/>
    <numFmt numFmtId="171" formatCode="0.00"/>
    <numFmt numFmtId="172" formatCode="0.0\x;\(0.0&quot;x)&quot;"/>
    <numFmt numFmtId="173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3A9CE"/>
      <rgbColor rgb="FFAB4744"/>
      <rgbColor rgb="FFF2F2F2"/>
      <rgbColor rgb="FFD9E1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Реальная выручка Ataria по месяцам, 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'Анализ продаж Kaspi'!A27</c:f>
              <c:strCache>
                <c:ptCount val="1"/>
                <c:pt idx="0">
                  <c:v>Кухонный комбайн AT-SM23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Kaspi'!$B$27:$I$27</c:f>
              <c:numCache>
                <c:formatCode>#,##0;\(#,##0\);\-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1449410</c:v>
                </c:pt>
                <c:pt idx="5">
                  <c:v>9349150</c:v>
                </c:pt>
                <c:pt idx="6">
                  <c:v>6159450</c:v>
                </c:pt>
                <c:pt idx="7">
                  <c:v>1999300</c:v>
                </c:pt>
              </c:numCache>
            </c:numRef>
          </c:val>
        </c:ser>
        <c:ser>
          <c:idx val="1"/>
          <c:order val="1"/>
          <c:tx>
            <c:strRef>
              <c:f>'Анализ продаж Kaspi'!A28</c:f>
              <c:strCache>
                <c:ptCount val="1"/>
                <c:pt idx="0">
                  <c:v>Измельчитель AT-2300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Kaspi'!$B$28:$I$28</c:f>
              <c:numCache>
                <c:formatCode>#,##0;\(#,##0\);\-</c:formatCode>
                <c:ptCount val="8"/>
                <c:pt idx="0">
                  <c:v>14990</c:v>
                </c:pt>
                <c:pt idx="1">
                  <c:v>329780</c:v>
                </c:pt>
                <c:pt idx="2">
                  <c:v>1013350</c:v>
                </c:pt>
                <c:pt idx="3">
                  <c:v>1644570</c:v>
                </c:pt>
                <c:pt idx="4">
                  <c:v>1824740</c:v>
                </c:pt>
                <c:pt idx="5">
                  <c:v>1544970</c:v>
                </c:pt>
                <c:pt idx="6">
                  <c:v>461730</c:v>
                </c:pt>
                <c:pt idx="7">
                  <c:v>53970</c:v>
                </c:pt>
              </c:numCache>
            </c:numRef>
          </c:val>
        </c:ser>
        <c:ser>
          <c:idx val="2"/>
          <c:order val="2"/>
          <c:tx>
            <c:strRef>
              <c:f>'Анализ продаж Kaspi'!A29</c:f>
              <c:strCache>
                <c:ptCount val="1"/>
                <c:pt idx="0">
                  <c:v>Измельчители AT-1100 / AT-1700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Kaspi'!$B$29:$I$29</c:f>
              <c:numCache>
                <c:formatCode>#,##0;\(#,##0\);\-</c:formatCode>
                <c:ptCount val="8"/>
                <c:pt idx="0">
                  <c:v>9990</c:v>
                </c:pt>
                <c:pt idx="1">
                  <c:v>49950</c:v>
                </c:pt>
                <c:pt idx="2">
                  <c:v>149850</c:v>
                </c:pt>
                <c:pt idx="3">
                  <c:v>179820</c:v>
                </c:pt>
                <c:pt idx="4">
                  <c:v>89910</c:v>
                </c:pt>
                <c:pt idx="5">
                  <c:v>249750</c:v>
                </c:pt>
                <c:pt idx="6">
                  <c:v>429570</c:v>
                </c:pt>
                <c:pt idx="7">
                  <c:v>169830</c:v>
                </c:pt>
              </c:numCache>
            </c:numRef>
          </c:val>
        </c:ser>
        <c:ser>
          <c:idx val="3"/>
          <c:order val="3"/>
          <c:tx>
            <c:strRef>
              <c:f>'Анализ продаж Kaspi'!A30</c:f>
              <c:strCache>
                <c:ptCount val="1"/>
                <c:pt idx="0">
                  <c:v>Подушка 35×60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Kaspi'!$B$30:$I$30</c:f>
              <c:numCache>
                <c:formatCode>#,##0;\(#,##0\);\-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859140</c:v>
                </c:pt>
                <c:pt idx="3">
                  <c:v>1542480</c:v>
                </c:pt>
                <c:pt idx="4">
                  <c:v>1468530</c:v>
                </c:pt>
                <c:pt idx="5">
                  <c:v>1036210</c:v>
                </c:pt>
                <c:pt idx="6">
                  <c:v>1469020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'Анализ продаж Kaspi'!A31</c:f>
              <c:strCache>
                <c:ptCount val="1"/>
                <c:pt idx="0">
                  <c:v>Подушка 40×60 / 40×61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Kaspi'!$B$31:$I$31</c:f>
              <c:numCache>
                <c:formatCode>#,##0;\(#,##0\);\-</c:formatCode>
                <c:ptCount val="8"/>
                <c:pt idx="0">
                  <c:v>89940</c:v>
                </c:pt>
                <c:pt idx="1">
                  <c:v>2983010</c:v>
                </c:pt>
                <c:pt idx="2">
                  <c:v>1468030</c:v>
                </c:pt>
                <c:pt idx="3">
                  <c:v>2044270</c:v>
                </c:pt>
                <c:pt idx="4">
                  <c:v>941820</c:v>
                </c:pt>
                <c:pt idx="5">
                  <c:v>749500</c:v>
                </c:pt>
                <c:pt idx="6">
                  <c:v>1421060</c:v>
                </c:pt>
                <c:pt idx="7">
                  <c:v>419730</c:v>
                </c:pt>
              </c:numCache>
            </c:numRef>
          </c:val>
        </c:ser>
        <c:ser>
          <c:idx val="5"/>
          <c:order val="5"/>
          <c:tx>
            <c:strRef>
              <c:f>'Анализ продаж Kaspi'!A32</c:f>
              <c:strCache>
                <c:ptCount val="1"/>
                <c:pt idx="0">
                  <c:v>Подушка 36×60 (по 29 990–44 990)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Kaspi'!$B$32:$I$32</c:f>
              <c:numCache>
                <c:formatCode>#,##0;\(#,##0\);\-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239920</c:v>
                </c:pt>
                <c:pt idx="3">
                  <c:v>603090</c:v>
                </c:pt>
                <c:pt idx="4">
                  <c:v>179400</c:v>
                </c:pt>
                <c:pt idx="5">
                  <c:v>44990</c:v>
                </c:pt>
                <c:pt idx="6">
                  <c:v>89980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'Анализ продаж Kaspi'!A33</c:f>
              <c:strCache>
                <c:ptCount val="1"/>
                <c:pt idx="0">
                  <c:v>Подушка 41×61 (по 27 990–29 990)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Kaspi'!$B$33:$I$33</c:f>
              <c:numCache>
                <c:formatCode>#,##0;\(#,##0\);\-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29990</c:v>
                </c:pt>
                <c:pt idx="3">
                  <c:v>149950</c:v>
                </c:pt>
                <c:pt idx="4">
                  <c:v>85970</c:v>
                </c:pt>
                <c:pt idx="5">
                  <c:v>111960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7"/>
          <c:order val="7"/>
          <c:tx>
            <c:strRef>
              <c:f>'Анализ продаж Kaspi'!A34</c:f>
              <c:strCache>
                <c:ptCount val="1"/>
                <c:pt idx="0">
                  <c:v>Аэрогриль Ataria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продаж Kaspi'!$B$26:$I$26</c:f>
              <c:strCache>
                <c:ptCount val="8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</c:strCache>
            </c:strRef>
          </c:cat>
          <c:val>
            <c:numRef>
              <c:f>'Анализ продаж Kaspi'!$B$34:$I$34</c:f>
              <c:numCache>
                <c:formatCode>#,##0;\(#,##0\);\-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587790</c:v>
                </c:pt>
                <c:pt idx="3">
                  <c:v>687760</c:v>
                </c:pt>
                <c:pt idx="4">
                  <c:v>27990</c:v>
                </c:pt>
                <c:pt idx="5">
                  <c:v>0</c:v>
                </c:pt>
                <c:pt idx="6">
                  <c:v>55980</c:v>
                </c:pt>
                <c:pt idx="7">
                  <c:v>0</c:v>
                </c:pt>
              </c:numCache>
            </c:numRef>
          </c:val>
        </c:ser>
        <c:gapWidth val="150"/>
        <c:overlap val="100"/>
        <c:axId val="35379045"/>
        <c:axId val="2567463"/>
      </c:barChart>
      <c:catAx>
        <c:axId val="35379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7463"/>
        <c:crosses val="autoZero"/>
        <c:auto val="1"/>
        <c:lblAlgn val="ctr"/>
        <c:lblOffset val="100"/>
        <c:noMultiLvlLbl val="0"/>
      </c:catAx>
      <c:valAx>
        <c:axId val="2567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79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60</xdr:row>
      <xdr:rowOff>145080</xdr:rowOff>
    </xdr:from>
    <xdr:to>
      <xdr:col>5</xdr:col>
      <xdr:colOff>166320</xdr:colOff>
      <xdr:row>77</xdr:row>
      <xdr:rowOff>146160</xdr:rowOff>
    </xdr:to>
    <xdr:graphicFrame>
      <xdr:nvGraphicFramePr>
        <xdr:cNvPr id="0" name="Chart 1"/>
        <xdr:cNvGraphicFramePr/>
      </xdr:nvGraphicFramePr>
      <xdr:xfrm>
        <a:off x="0" y="1200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f aca="false">Допущения!$B$6+Допущения!$B$7+Допущения!$B$9+Допущения!$B$10</f>
        <v>9000000</v>
      </c>
    </row>
    <row r="6" customFormat="false" ht="15" hidden="false" customHeight="false" outlineLevel="0" collapsed="false">
      <c r="A6" s="5" t="s">
        <v>4</v>
      </c>
      <c r="B6" s="6" t="n">
        <f aca="false">Допущения!$B$6</f>
        <v>6000000</v>
      </c>
    </row>
    <row r="7" customFormat="false" ht="15" hidden="false" customHeight="false" outlineLevel="0" collapsed="false">
      <c r="A7" s="5" t="s">
        <v>5</v>
      </c>
      <c r="B7" s="6" t="n">
        <f aca="false">Допущения!$B$7</f>
        <v>1500000</v>
      </c>
    </row>
    <row r="8" customFormat="false" ht="15" hidden="false" customHeight="false" outlineLevel="0" collapsed="false">
      <c r="A8" s="5" t="s">
        <v>6</v>
      </c>
      <c r="B8" s="6" t="n">
        <f aca="false">Допущения!$B$9</f>
        <v>1500000</v>
      </c>
    </row>
    <row r="9" customFormat="false" ht="15" hidden="false" customHeight="false" outlineLevel="0" collapsed="false">
      <c r="A9" s="5" t="s">
        <v>7</v>
      </c>
      <c r="B9" s="6" t="n">
        <f aca="false">Допущения!$B$8</f>
        <v>2500000</v>
      </c>
    </row>
    <row r="10" customFormat="false" ht="15" hidden="false" customHeight="false" outlineLevel="0" collapsed="false">
      <c r="A10" s="5" t="s">
        <v>8</v>
      </c>
      <c r="B10" s="7" t="n">
        <f aca="false">Допущения!$B$12</f>
        <v>0.04</v>
      </c>
    </row>
    <row r="11" customFormat="false" ht="15" hidden="false" customHeight="false" outlineLevel="0" collapsed="false">
      <c r="A11" s="5" t="s">
        <v>9</v>
      </c>
      <c r="B11" s="6" t="n">
        <f aca="false">'График платежей'!D5</f>
        <v>360000</v>
      </c>
    </row>
    <row r="12" customFormat="false" ht="15" hidden="false" customHeight="false" outlineLevel="0" collapsed="false">
      <c r="A12" s="5" t="s">
        <v>10</v>
      </c>
      <c r="B12" s="8" t="n">
        <f aca="false">Допущения!$B$13</f>
        <v>12</v>
      </c>
    </row>
    <row r="13" customFormat="false" ht="15" hidden="false" customHeight="false" outlineLevel="0" collapsed="false">
      <c r="A13" s="5" t="s">
        <v>11</v>
      </c>
      <c r="B13" s="9" t="s">
        <v>12</v>
      </c>
    </row>
    <row r="14" customFormat="false" ht="15" hidden="false" customHeight="false" outlineLevel="0" collapsed="false">
      <c r="A14" s="5" t="s">
        <v>13</v>
      </c>
      <c r="B14" s="6" t="n">
        <f aca="false">'График платежей'!F17</f>
        <v>13320000</v>
      </c>
    </row>
    <row r="15" customFormat="false" ht="15" hidden="false" customHeight="false" outlineLevel="0" collapsed="false">
      <c r="A15" s="5" t="s">
        <v>14</v>
      </c>
      <c r="B15" s="6" t="n">
        <f aca="false">'График платежей'!D17</f>
        <v>4320000</v>
      </c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3" t="s">
        <v>15</v>
      </c>
      <c r="B17" s="4"/>
    </row>
    <row r="18" customFormat="false" ht="15" hidden="false" customHeight="false" outlineLevel="0" collapsed="false">
      <c r="A18" s="5" t="s">
        <v>16</v>
      </c>
      <c r="B18" s="6" t="n">
        <f aca="false">'Анализ продаж Kaspi'!B9</f>
        <v>46561590</v>
      </c>
    </row>
    <row r="19" customFormat="false" ht="15" hidden="false" customHeight="false" outlineLevel="0" collapsed="false">
      <c r="A19" s="5" t="s">
        <v>17</v>
      </c>
      <c r="B19" s="10" t="n">
        <v>13086530</v>
      </c>
    </row>
    <row r="20" customFormat="false" ht="15" hidden="false" customHeight="false" outlineLevel="0" collapsed="false">
      <c r="A20" s="5" t="s">
        <v>18</v>
      </c>
      <c r="B20" s="10" t="n">
        <v>170</v>
      </c>
    </row>
    <row r="21" customFormat="false" ht="15" hidden="false" customHeight="false" outlineLevel="0" collapsed="false">
      <c r="A21" s="5" t="s">
        <v>19</v>
      </c>
      <c r="B21" s="10" t="n">
        <v>1306</v>
      </c>
    </row>
    <row r="22" customFormat="false" ht="15" hidden="false" customHeight="false" outlineLevel="0" collapsed="false">
      <c r="A22" s="5" t="s">
        <v>20</v>
      </c>
      <c r="B22" s="6" t="n">
        <f aca="false">'Факт прибыли 2026'!K14</f>
        <v>7385394.13</v>
      </c>
    </row>
    <row r="23" customFormat="false" ht="15" hidden="false" customHeight="false" outlineLevel="0" collapsed="false">
      <c r="A23" s="5"/>
    </row>
    <row r="24" customFormat="false" ht="15" hidden="false" customHeight="false" outlineLevel="0" collapsed="false">
      <c r="A24" s="3" t="s">
        <v>21</v>
      </c>
      <c r="B24" s="4"/>
    </row>
    <row r="25" customFormat="false" ht="15" hidden="false" customHeight="false" outlineLevel="0" collapsed="false">
      <c r="A25" s="5" t="s">
        <v>22</v>
      </c>
      <c r="B25" s="9" t="str">
        <f aca="false">INDEX({"Пессимистичный","Базовый","Оптимистичный"},Допущения!$B$16)</f>
        <v>Базовый</v>
      </c>
    </row>
    <row r="26" customFormat="false" ht="15" hidden="false" customHeight="false" outlineLevel="0" collapsed="false">
      <c r="A26" s="5" t="s">
        <v>23</v>
      </c>
      <c r="B26" s="6" t="n">
        <f aca="false">'План и ДДС'!P42</f>
        <v>92619592</v>
      </c>
    </row>
    <row r="27" customFormat="false" ht="15" hidden="false" customHeight="false" outlineLevel="0" collapsed="false">
      <c r="A27" s="5" t="s">
        <v>24</v>
      </c>
      <c r="B27" s="6" t="n">
        <f aca="false">'План и ДДС'!P13</f>
        <v>583</v>
      </c>
    </row>
    <row r="28" customFormat="false" ht="15" hidden="false" customHeight="false" outlineLevel="0" collapsed="false">
      <c r="A28" s="5" t="s">
        <v>19</v>
      </c>
      <c r="B28" s="6" t="n">
        <f aca="false">'План и ДДС'!P24+'План и ДДС'!P35</f>
        <v>2130</v>
      </c>
    </row>
    <row r="29" customFormat="false" ht="15" hidden="false" customHeight="false" outlineLevel="0" collapsed="false">
      <c r="A29" s="5" t="s">
        <v>25</v>
      </c>
      <c r="B29" s="6" t="n">
        <f aca="false">'План и ДДС'!P57</f>
        <v>6507391.64932801</v>
      </c>
    </row>
    <row r="30" customFormat="false" ht="15" hidden="false" customHeight="false" outlineLevel="0" collapsed="false">
      <c r="A30" s="5" t="s">
        <v>26</v>
      </c>
      <c r="B30" s="6" t="n">
        <f aca="false">'План и ДДС'!$C$62</f>
        <v>8112391.64932801</v>
      </c>
    </row>
    <row r="31" customFormat="false" ht="15" hidden="false" customHeight="false" outlineLevel="0" collapsed="false">
      <c r="A31" s="5" t="s">
        <v>27</v>
      </c>
      <c r="B31" s="6" t="n">
        <f aca="false">'План и ДДС'!$C$63</f>
        <v>895000</v>
      </c>
    </row>
    <row r="32" customFormat="false" ht="15" hidden="false" customHeight="false" outlineLevel="0" collapsed="false">
      <c r="A32" s="5" t="s">
        <v>28</v>
      </c>
      <c r="B32" s="6" t="n">
        <f aca="false">'План и ДДС'!$C$64</f>
        <v>1095000</v>
      </c>
    </row>
    <row r="33" customFormat="false" ht="15" hidden="false" customHeight="false" outlineLevel="0" collapsed="false">
      <c r="A33" s="5" t="s">
        <v>29</v>
      </c>
      <c r="B33" s="11" t="n">
        <f aca="false">'План и ДДС'!$C$65</f>
        <v>1.60714153635104</v>
      </c>
    </row>
    <row r="34" customFormat="false" ht="15" hidden="false" customHeight="false" outlineLevel="0" collapsed="false">
      <c r="A34" s="5"/>
    </row>
    <row r="35" customFormat="false" ht="15" hidden="false" customHeight="false" outlineLevel="0" collapsed="false">
      <c r="A35" s="3" t="s">
        <v>30</v>
      </c>
      <c r="B35" s="4"/>
    </row>
    <row r="36" customFormat="false" ht="15" hidden="false" customHeight="false" outlineLevel="0" collapsed="false">
      <c r="A36" s="5" t="s">
        <v>31</v>
      </c>
      <c r="B36" s="6" t="n">
        <f aca="false">'Юнит-экономика'!B15</f>
        <v>15413.5254927434</v>
      </c>
    </row>
    <row r="37" customFormat="false" ht="15" hidden="false" customHeight="false" outlineLevel="0" collapsed="false">
      <c r="A37" s="5" t="s">
        <v>32</v>
      </c>
      <c r="B37" s="7" t="n">
        <f aca="false">'Юнит-экономика'!B13</f>
        <v>1.23028</v>
      </c>
    </row>
    <row r="38" customFormat="false" ht="15" hidden="false" customHeight="false" outlineLevel="0" collapsed="false">
      <c r="A38" s="5" t="s">
        <v>33</v>
      </c>
      <c r="B38" s="6" t="n">
        <f aca="false">'Юнит-экономика'!C15</f>
        <v>2215.82814099187</v>
      </c>
    </row>
    <row r="39" customFormat="false" ht="15" hidden="false" customHeight="false" outlineLevel="0" collapsed="false">
      <c r="A39" s="5" t="s">
        <v>34</v>
      </c>
      <c r="B39" s="6" t="n">
        <f aca="false">'Юнит-экономика'!D15</f>
        <v>2893.3796402838</v>
      </c>
    </row>
    <row r="40" customFormat="false" ht="15" hidden="false" customHeight="false" outlineLevel="0" collapsed="false">
      <c r="A40" s="5" t="s">
        <v>35</v>
      </c>
      <c r="B40" s="7" t="n">
        <f aca="false">AVERAGE('Юнит-экономика'!C13:D13)</f>
        <v>1.8758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5" customFormat="false" ht="15" hidden="false" customHeight="false" outlineLevel="0" collapsed="false">
      <c r="A5" s="12" t="s">
        <v>38</v>
      </c>
      <c r="B5" s="13"/>
      <c r="C5" s="13"/>
      <c r="D5" s="13"/>
    </row>
    <row r="6" customFormat="false" ht="15" hidden="false" customHeight="false" outlineLevel="0" collapsed="false">
      <c r="A6" s="5" t="s">
        <v>39</v>
      </c>
      <c r="B6" s="14" t="n">
        <v>6000000</v>
      </c>
      <c r="D6" s="15" t="s">
        <v>40</v>
      </c>
    </row>
    <row r="7" customFormat="false" ht="15" hidden="false" customHeight="false" outlineLevel="0" collapsed="false">
      <c r="A7" s="5" t="s">
        <v>41</v>
      </c>
      <c r="B7" s="14" t="n">
        <v>1500000</v>
      </c>
      <c r="D7" s="15" t="s">
        <v>42</v>
      </c>
    </row>
    <row r="8" customFormat="false" ht="15" hidden="false" customHeight="false" outlineLevel="0" collapsed="false">
      <c r="A8" s="5" t="s">
        <v>43</v>
      </c>
      <c r="B8" s="14" t="n">
        <v>2500000</v>
      </c>
      <c r="D8" s="15" t="s">
        <v>44</v>
      </c>
    </row>
    <row r="9" customFormat="false" ht="15" hidden="false" customHeight="false" outlineLevel="0" collapsed="false">
      <c r="A9" s="5" t="s">
        <v>45</v>
      </c>
      <c r="B9" s="14" t="n">
        <v>1500000</v>
      </c>
      <c r="D9" s="15" t="s">
        <v>46</v>
      </c>
    </row>
    <row r="10" customFormat="false" ht="15" hidden="false" customHeight="false" outlineLevel="0" collapsed="false">
      <c r="A10" s="5" t="s">
        <v>47</v>
      </c>
      <c r="B10" s="14" t="n">
        <v>0</v>
      </c>
      <c r="D10" s="15" t="s">
        <v>48</v>
      </c>
    </row>
    <row r="11" customFormat="false" ht="15" hidden="false" customHeight="false" outlineLevel="0" collapsed="false">
      <c r="A11" s="5" t="s">
        <v>49</v>
      </c>
      <c r="B11" s="16" t="n">
        <v>3</v>
      </c>
      <c r="D11" s="15" t="s">
        <v>50</v>
      </c>
    </row>
    <row r="12" customFormat="false" ht="15" hidden="false" customHeight="false" outlineLevel="0" collapsed="false">
      <c r="A12" s="5" t="s">
        <v>8</v>
      </c>
      <c r="B12" s="17" t="n">
        <v>0.04</v>
      </c>
      <c r="D12" s="15" t="s">
        <v>51</v>
      </c>
    </row>
    <row r="13" customFormat="false" ht="15" hidden="false" customHeight="false" outlineLevel="0" collapsed="false">
      <c r="A13" s="5" t="s">
        <v>52</v>
      </c>
      <c r="B13" s="16" t="n">
        <v>12</v>
      </c>
      <c r="D13" s="15" t="s">
        <v>53</v>
      </c>
    </row>
    <row r="15" customFormat="false" ht="15" hidden="false" customHeight="false" outlineLevel="0" collapsed="false">
      <c r="A15" s="12" t="s">
        <v>54</v>
      </c>
      <c r="B15" s="13"/>
      <c r="C15" s="13"/>
      <c r="D15" s="13"/>
    </row>
    <row r="16" customFormat="false" ht="15" hidden="false" customHeight="false" outlineLevel="0" collapsed="false">
      <c r="A16" s="5" t="s">
        <v>55</v>
      </c>
      <c r="B16" s="16" t="n">
        <v>2</v>
      </c>
      <c r="D16" s="15" t="s">
        <v>56</v>
      </c>
    </row>
    <row r="17" customFormat="false" ht="15" hidden="false" customHeight="false" outlineLevel="0" collapsed="false">
      <c r="A17" s="5" t="s">
        <v>57</v>
      </c>
      <c r="B17" s="18" t="n">
        <v>0.7</v>
      </c>
      <c r="C17" s="19"/>
      <c r="D17" s="15" t="s">
        <v>58</v>
      </c>
    </row>
    <row r="18" customFormat="false" ht="15" hidden="false" customHeight="false" outlineLevel="0" collapsed="false">
      <c r="A18" s="5" t="s">
        <v>59</v>
      </c>
      <c r="B18" s="18" t="n">
        <v>1</v>
      </c>
    </row>
    <row r="19" customFormat="false" ht="15" hidden="false" customHeight="false" outlineLevel="0" collapsed="false">
      <c r="A19" s="5" t="s">
        <v>60</v>
      </c>
      <c r="B19" s="18" t="n">
        <v>1.3</v>
      </c>
    </row>
    <row r="20" customFormat="false" ht="15" hidden="false" customHeight="false" outlineLevel="0" collapsed="false">
      <c r="A20" s="20" t="s">
        <v>61</v>
      </c>
      <c r="B20" s="21" t="n">
        <f aca="false">INDEX(B17:B19,$B$16)</f>
        <v>1</v>
      </c>
    </row>
    <row r="22" customFormat="false" ht="15" hidden="false" customHeight="false" outlineLevel="0" collapsed="false">
      <c r="A22" s="12" t="s">
        <v>62</v>
      </c>
      <c r="B22" s="13"/>
      <c r="C22" s="13"/>
      <c r="D22" s="13"/>
    </row>
    <row r="23" customFormat="false" ht="23.85" hidden="false" customHeight="false" outlineLevel="0" collapsed="false">
      <c r="A23" s="22" t="s">
        <v>63</v>
      </c>
      <c r="B23" s="22" t="s">
        <v>64</v>
      </c>
      <c r="C23" s="22" t="s">
        <v>65</v>
      </c>
      <c r="D23" s="22" t="s">
        <v>66</v>
      </c>
      <c r="E23" s="22" t="s">
        <v>67</v>
      </c>
    </row>
    <row r="24" customFormat="false" ht="22.35" hidden="false" customHeight="false" outlineLevel="0" collapsed="false">
      <c r="A24" s="5" t="s">
        <v>68</v>
      </c>
      <c r="B24" s="14" t="n">
        <v>50000</v>
      </c>
      <c r="C24" s="14" t="n">
        <v>4000</v>
      </c>
      <c r="D24" s="14" t="n">
        <v>5000</v>
      </c>
      <c r="E24" s="23" t="s">
        <v>69</v>
      </c>
    </row>
    <row r="25" customFormat="false" ht="32.8" hidden="false" customHeight="false" outlineLevel="0" collapsed="false">
      <c r="A25" s="5" t="s">
        <v>70</v>
      </c>
      <c r="B25" s="14" t="n">
        <v>111514</v>
      </c>
      <c r="C25" s="14" t="n">
        <v>11344</v>
      </c>
      <c r="D25" s="14" t="n">
        <v>14578</v>
      </c>
      <c r="E25" s="23" t="s">
        <v>71</v>
      </c>
    </row>
    <row r="26" customFormat="false" ht="22.35" hidden="false" customHeight="false" outlineLevel="0" collapsed="false">
      <c r="A26" s="5" t="s">
        <v>72</v>
      </c>
      <c r="B26" s="14" t="n">
        <v>50</v>
      </c>
      <c r="C26" s="14" t="n">
        <v>100</v>
      </c>
      <c r="D26" s="14" t="n">
        <v>100</v>
      </c>
      <c r="E26" s="23" t="s">
        <v>73</v>
      </c>
    </row>
    <row r="27" customFormat="false" ht="15" hidden="false" customHeight="false" outlineLevel="0" collapsed="false">
      <c r="A27" s="5" t="s">
        <v>74</v>
      </c>
      <c r="B27" s="17" t="n">
        <v>0.109</v>
      </c>
      <c r="C27" s="17" t="n">
        <v>0.113</v>
      </c>
      <c r="D27" s="17" t="n">
        <v>0.113</v>
      </c>
      <c r="E27" s="23" t="s">
        <v>75</v>
      </c>
    </row>
    <row r="28" customFormat="false" ht="22.35" hidden="false" customHeight="false" outlineLevel="0" collapsed="false">
      <c r="A28" s="5" t="s">
        <v>76</v>
      </c>
      <c r="B28" s="24" t="n">
        <f aca="false">'Анализ маркетинга'!H5</f>
        <v>0.222089051663976</v>
      </c>
      <c r="C28" s="24" t="n">
        <f aca="false">'Анализ маркетинга'!H6</f>
        <v>0.206084261196062</v>
      </c>
      <c r="D28" s="24" t="n">
        <f aca="false">'Анализ маркетинга'!H6</f>
        <v>0.206084261196062</v>
      </c>
      <c r="E28" s="23" t="s">
        <v>77</v>
      </c>
    </row>
    <row r="29" customFormat="false" ht="22.35" hidden="false" customHeight="false" outlineLevel="0" collapsed="false">
      <c r="A29" s="5" t="s">
        <v>78</v>
      </c>
      <c r="B29" s="14" t="n">
        <v>1931</v>
      </c>
      <c r="C29" s="14" t="n">
        <v>998</v>
      </c>
      <c r="D29" s="14" t="n">
        <v>1377</v>
      </c>
      <c r="E29" s="23" t="s">
        <v>79</v>
      </c>
    </row>
    <row r="30" customFormat="false" ht="22.35" hidden="false" customHeight="false" outlineLevel="0" collapsed="false">
      <c r="A30" s="5" t="s">
        <v>80</v>
      </c>
      <c r="B30" s="17" t="n">
        <v>0.025</v>
      </c>
      <c r="C30" s="17" t="n">
        <v>0.005</v>
      </c>
      <c r="D30" s="17" t="n">
        <v>0.005</v>
      </c>
      <c r="E30" s="23" t="s">
        <v>81</v>
      </c>
    </row>
    <row r="31" customFormat="false" ht="15" hidden="false" customHeight="false" outlineLevel="0" collapsed="false">
      <c r="A31" s="5" t="s">
        <v>82</v>
      </c>
      <c r="B31" s="16" t="n">
        <v>2</v>
      </c>
      <c r="C31" s="16" t="n">
        <v>1</v>
      </c>
      <c r="D31" s="16" t="n">
        <v>1</v>
      </c>
      <c r="E31" s="23" t="s">
        <v>83</v>
      </c>
    </row>
    <row r="32" customFormat="false" ht="15" hidden="false" customHeight="false" outlineLevel="0" collapsed="false">
      <c r="A32" s="5" t="s">
        <v>84</v>
      </c>
      <c r="B32" s="16" t="n">
        <v>3</v>
      </c>
      <c r="C32" s="16" t="n">
        <v>2</v>
      </c>
      <c r="D32" s="16" t="n">
        <v>2</v>
      </c>
      <c r="E32" s="23" t="s">
        <v>85</v>
      </c>
    </row>
    <row r="33" customFormat="false" ht="15" hidden="false" customHeight="false" outlineLevel="0" collapsed="false">
      <c r="A33" s="5" t="s">
        <v>86</v>
      </c>
      <c r="B33" s="14" t="n">
        <v>200</v>
      </c>
      <c r="C33" s="14" t="n">
        <v>50</v>
      </c>
      <c r="D33" s="14" t="n">
        <v>50</v>
      </c>
      <c r="E33" s="23" t="s">
        <v>87</v>
      </c>
    </row>
    <row r="35" customFormat="false" ht="15" hidden="false" customHeight="false" outlineLevel="0" collapsed="false">
      <c r="A35" s="12" t="s">
        <v>88</v>
      </c>
      <c r="B35" s="13"/>
      <c r="C35" s="13"/>
      <c r="D35" s="13"/>
    </row>
    <row r="36" customFormat="false" ht="15" hidden="false" customHeight="false" outlineLevel="0" collapsed="false">
      <c r="A36" s="5" t="s">
        <v>89</v>
      </c>
      <c r="B36" s="17" t="n">
        <v>0.3</v>
      </c>
      <c r="D36" s="15" t="s">
        <v>90</v>
      </c>
    </row>
    <row r="37" customFormat="false" ht="15" hidden="false" customHeight="false" outlineLevel="0" collapsed="false">
      <c r="A37" s="5" t="s">
        <v>91</v>
      </c>
      <c r="B37" s="17" t="n">
        <v>0.04</v>
      </c>
      <c r="D37" s="15" t="s">
        <v>92</v>
      </c>
    </row>
    <row r="38" customFormat="false" ht="15" hidden="false" customHeight="false" outlineLevel="0" collapsed="false">
      <c r="A38" s="5" t="s">
        <v>93</v>
      </c>
      <c r="B38" s="14" t="n">
        <v>300000</v>
      </c>
      <c r="D38" s="15" t="s">
        <v>94</v>
      </c>
    </row>
    <row r="39" customFormat="false" ht="15" hidden="false" customHeight="false" outlineLevel="0" collapsed="false">
      <c r="A39" s="5" t="s">
        <v>95</v>
      </c>
      <c r="B39" s="14" t="n">
        <v>200</v>
      </c>
      <c r="D39" s="1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"/>
    <col collapsed="false" customWidth="true" hidden="false" outlineLevel="0" max="15" min="3" style="0" width="12.5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30" hidden="false" customHeight="true" outlineLevel="0" collapsed="false">
      <c r="A4" s="22" t="s">
        <v>63</v>
      </c>
      <c r="B4" s="22" t="s">
        <v>99</v>
      </c>
      <c r="C4" s="22" t="s">
        <v>100</v>
      </c>
      <c r="D4" s="22" t="s">
        <v>101</v>
      </c>
      <c r="E4" s="22" t="s">
        <v>102</v>
      </c>
      <c r="F4" s="22" t="s">
        <v>103</v>
      </c>
      <c r="G4" s="22" t="s">
        <v>104</v>
      </c>
      <c r="H4" s="22" t="s">
        <v>105</v>
      </c>
      <c r="I4" s="22" t="s">
        <v>106</v>
      </c>
      <c r="J4" s="22" t="s">
        <v>107</v>
      </c>
      <c r="K4" s="22" t="s">
        <v>108</v>
      </c>
      <c r="L4" s="22" t="s">
        <v>109</v>
      </c>
      <c r="M4" s="22" t="s">
        <v>110</v>
      </c>
      <c r="N4" s="22" t="s">
        <v>111</v>
      </c>
      <c r="O4" s="22" t="s">
        <v>112</v>
      </c>
      <c r="P4" s="22" t="s">
        <v>113</v>
      </c>
    </row>
    <row r="5" customFormat="false" ht="15" hidden="false" customHeight="false" outlineLevel="0" collapsed="false">
      <c r="A5" s="3" t="s">
        <v>114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false" outlineLevel="0" collapsed="false">
      <c r="A6" s="5" t="s">
        <v>115</v>
      </c>
      <c r="B6" s="15" t="s">
        <v>116</v>
      </c>
      <c r="C6" s="25"/>
      <c r="D6" s="26" t="n">
        <v>1.15</v>
      </c>
      <c r="E6" s="26" t="n">
        <v>1.3</v>
      </c>
      <c r="F6" s="26" t="n">
        <v>0.85</v>
      </c>
      <c r="G6" s="26" t="n">
        <v>0.85</v>
      </c>
      <c r="H6" s="26" t="n">
        <v>1</v>
      </c>
      <c r="I6" s="26" t="n">
        <v>0.9</v>
      </c>
      <c r="J6" s="26" t="n">
        <v>0.95</v>
      </c>
      <c r="K6" s="26" t="n">
        <v>0.9</v>
      </c>
      <c r="L6" s="26" t="n">
        <v>0.9</v>
      </c>
      <c r="M6" s="26" t="n">
        <v>1</v>
      </c>
      <c r="N6" s="26" t="n">
        <v>1</v>
      </c>
      <c r="O6" s="26" t="n">
        <v>1</v>
      </c>
    </row>
    <row r="7" customFormat="false" ht="15" hidden="false" customHeight="false" outlineLevel="0" collapsed="false">
      <c r="A7" s="3" t="s">
        <v>64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false" outlineLevel="0" collapsed="false">
      <c r="A8" s="5" t="s">
        <v>117</v>
      </c>
      <c r="B8" s="15" t="s">
        <v>118</v>
      </c>
      <c r="C8" s="27" t="n">
        <f aca="false">Допущения!$B$39</f>
        <v>200</v>
      </c>
      <c r="D8" s="27" t="n">
        <v>0</v>
      </c>
      <c r="E8" s="27" t="n">
        <v>0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27" t="n">
        <v>0</v>
      </c>
      <c r="P8" s="28" t="n">
        <f aca="false">SUM(C8:O8)</f>
        <v>200</v>
      </c>
    </row>
    <row r="9" customFormat="false" ht="15" hidden="false" customHeight="false" outlineLevel="0" collapsed="false">
      <c r="A9" s="5" t="s">
        <v>119</v>
      </c>
      <c r="B9" s="15" t="s">
        <v>118</v>
      </c>
      <c r="C9" s="29" t="n">
        <v>0</v>
      </c>
      <c r="D9" s="29" t="n">
        <v>0</v>
      </c>
      <c r="E9" s="29" t="n">
        <v>200</v>
      </c>
      <c r="F9" s="29" t="n">
        <v>0</v>
      </c>
      <c r="G9" s="29" t="n">
        <v>0</v>
      </c>
      <c r="H9" s="29" t="n">
        <v>0</v>
      </c>
      <c r="I9" s="29" t="n">
        <v>200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8" t="n">
        <f aca="false">SUM(C9:O9)</f>
        <v>400</v>
      </c>
    </row>
    <row r="10" customFormat="false" ht="15" hidden="false" customHeight="false" outlineLevel="0" collapsed="false">
      <c r="A10" s="5" t="s">
        <v>120</v>
      </c>
      <c r="B10" s="15" t="s">
        <v>118</v>
      </c>
      <c r="C10" s="30" t="n">
        <f aca="false">IF(0=1,C8,0)</f>
        <v>0</v>
      </c>
      <c r="D10" s="30" t="n">
        <f aca="false">IF(1-0=Допущения!$B$32,C9,0)+IF(1=1,C8,0)</f>
        <v>200</v>
      </c>
      <c r="E10" s="30" t="n">
        <f aca="false">IF(2-0=Допущения!$B$32,C9,0)+IF(2-1=Допущения!$B$32,D9,0)+IF(2=1,C8,0)</f>
        <v>0</v>
      </c>
      <c r="F10" s="30" t="n">
        <f aca="false">IF(3-0=Допущения!$B$32,C9,0)+IF(3-1=Допущения!$B$32,D9,0)+IF(3-2=Допущения!$B$32,E9,0)+IF(3=1,C8,0)</f>
        <v>0</v>
      </c>
      <c r="G10" s="30" t="n">
        <f aca="false">IF(4-0=Допущения!$B$32,C9,0)+IF(4-1=Допущения!$B$32,D9,0)+IF(4-2=Допущения!$B$32,E9,0)+IF(4-3=Допущения!$B$32,F9,0)+IF(4=1,C8,0)</f>
        <v>0</v>
      </c>
      <c r="H10" s="30" t="n">
        <f aca="false">IF(5-0=Допущения!$B$32,C9,0)+IF(5-1=Допущения!$B$32,D9,0)+IF(5-2=Допущения!$B$32,E9,0)+IF(5-3=Допущения!$B$32,F9,0)+IF(5-4=Допущения!$B$32,G9,0)+IF(5=1,C8,0)</f>
        <v>200</v>
      </c>
      <c r="I10" s="30" t="n">
        <f aca="false">IF(6-0=Допущения!$B$32,C9,0)+IF(6-1=Допущения!$B$32,D9,0)+IF(6-2=Допущения!$B$32,E9,0)+IF(6-3=Допущения!$B$32,F9,0)+IF(6-4=Допущения!$B$32,G9,0)+IF(6-5=Допущения!$B$32,H9,0)+IF(6=1,C8,0)</f>
        <v>0</v>
      </c>
      <c r="J10" s="30" t="n">
        <f aca="false">IF(7-0=Допущения!$B$32,C9,0)+IF(7-1=Допущения!$B$32,D9,0)+IF(7-2=Допущения!$B$32,E9,0)+IF(7-3=Допущения!$B$32,F9,0)+IF(7-4=Допущения!$B$32,G9,0)+IF(7-5=Допущения!$B$32,H9,0)+IF(7-6=Допущения!$B$32,I9,0)+IF(7=1,C8,0)</f>
        <v>0</v>
      </c>
      <c r="K10" s="30" t="n">
        <f aca="false">IF(8-0=Допущения!$B$32,C9,0)+IF(8-1=Допущения!$B$32,D9,0)+IF(8-2=Допущения!$B$32,E9,0)+IF(8-3=Допущения!$B$32,F9,0)+IF(8-4=Допущения!$B$32,G9,0)+IF(8-5=Допущения!$B$32,H9,0)+IF(8-6=Допущения!$B$32,I9,0)+IF(8-7=Допущения!$B$32,J9,0)+IF(8=1,C8,0)</f>
        <v>0</v>
      </c>
      <c r="L10" s="30" t="n">
        <f aca="false">IF(9-0=Допущения!$B$32,C9,0)+IF(9-1=Допущения!$B$32,D9,0)+IF(9-2=Допущения!$B$32,E9,0)+IF(9-3=Допущения!$B$32,F9,0)+IF(9-4=Допущения!$B$32,G9,0)+IF(9-5=Допущения!$B$32,H9,0)+IF(9-6=Допущения!$B$32,I9,0)+IF(9-7=Допущения!$B$32,J9,0)+IF(9-8=Допущения!$B$32,K9,0)+IF(9=1,C8,0)</f>
        <v>200</v>
      </c>
      <c r="M10" s="30" t="n">
        <f aca="false">IF(10-0=Допущения!$B$32,C9,0)+IF(10-1=Допущения!$B$32,D9,0)+IF(10-2=Допущения!$B$32,E9,0)+IF(10-3=Допущения!$B$32,F9,0)+IF(10-4=Допущения!$B$32,G9,0)+IF(10-5=Допущения!$B$32,H9,0)+IF(10-6=Допущения!$B$32,I9,0)+IF(10-7=Допущения!$B$32,J9,0)+IF(10-8=Допущения!$B$32,K9,0)+IF(10-9=Допущения!$B$32,L9,0)+IF(10=1,C8,0)</f>
        <v>0</v>
      </c>
      <c r="N10" s="30" t="n">
        <f aca="false">IF(11-0=Допущения!$B$32,C9,0)+IF(11-1=Допущения!$B$32,D9,0)+IF(11-2=Допущения!$B$32,E9,0)+IF(11-3=Допущения!$B$32,F9,0)+IF(11-4=Допущения!$B$32,G9,0)+IF(11-5=Допущения!$B$32,H9,0)+IF(11-6=Допущения!$B$32,I9,0)+IF(11-7=Допущения!$B$32,J9,0)+IF(11-8=Допущения!$B$32,K9,0)+IF(11-9=Допущения!$B$32,L9,0)+IF(11-10=Допущения!$B$32,M9,0)+IF(11=1,C8,0)</f>
        <v>0</v>
      </c>
      <c r="O10" s="30" t="n">
        <f aca="false">IF(12-0=Допущения!$B$32,C9,0)+IF(12-1=Допущения!$B$32,D9,0)+IF(12-2=Допущения!$B$32,E9,0)+IF(12-3=Допущения!$B$32,F9,0)+IF(12-4=Допущения!$B$32,G9,0)+IF(12-5=Допущения!$B$32,H9,0)+IF(12-6=Допущения!$B$32,I9,0)+IF(12-7=Допущения!$B$32,J9,0)+IF(12-8=Допущения!$B$32,K9,0)+IF(12-9=Допущения!$B$32,L9,0)+IF(12-10=Допущения!$B$32,M9,0)+IF(12-11=Допущения!$B$32,N9,0)+IF(12=1,C8,0)</f>
        <v>0</v>
      </c>
      <c r="P10" s="28" t="n">
        <f aca="false">SUM(C10:O10)</f>
        <v>600</v>
      </c>
    </row>
    <row r="11" customFormat="false" ht="15" hidden="false" customHeight="false" outlineLevel="0" collapsed="false">
      <c r="A11" s="5" t="s">
        <v>121</v>
      </c>
      <c r="B11" s="15" t="s">
        <v>118</v>
      </c>
      <c r="C11" s="30" t="n">
        <v>0</v>
      </c>
      <c r="D11" s="30" t="n">
        <f aca="false">C14</f>
        <v>0</v>
      </c>
      <c r="E11" s="30" t="n">
        <f aca="false">D14</f>
        <v>143</v>
      </c>
      <c r="F11" s="30" t="n">
        <f aca="false">E14</f>
        <v>78</v>
      </c>
      <c r="G11" s="30" t="n">
        <f aca="false">F14</f>
        <v>35</v>
      </c>
      <c r="H11" s="30" t="n">
        <f aca="false">G14</f>
        <v>0</v>
      </c>
      <c r="I11" s="30" t="n">
        <f aca="false">H14</f>
        <v>150</v>
      </c>
      <c r="J11" s="30" t="n">
        <f aca="false">I14</f>
        <v>105</v>
      </c>
      <c r="K11" s="30" t="n">
        <f aca="false">J14</f>
        <v>57</v>
      </c>
      <c r="L11" s="30" t="n">
        <f aca="false">K14</f>
        <v>12</v>
      </c>
      <c r="M11" s="30" t="n">
        <f aca="false">L14</f>
        <v>167</v>
      </c>
      <c r="N11" s="30" t="n">
        <f aca="false">M14</f>
        <v>117</v>
      </c>
      <c r="O11" s="30" t="n">
        <f aca="false">N14</f>
        <v>67</v>
      </c>
    </row>
    <row r="12" customFormat="false" ht="15" hidden="false" customHeight="false" outlineLevel="0" collapsed="false">
      <c r="A12" s="5" t="s">
        <v>122</v>
      </c>
      <c r="B12" s="15" t="s">
        <v>118</v>
      </c>
      <c r="C12" s="30" t="n">
        <v>0</v>
      </c>
      <c r="D12" s="30" t="n">
        <f aca="false">ROUND(Допущения!$B$26*D$6*Допущения!$B$20,0)</f>
        <v>57</v>
      </c>
      <c r="E12" s="30" t="n">
        <f aca="false">ROUND(Допущения!$B$26*E$6*Допущения!$B$20,0)</f>
        <v>65</v>
      </c>
      <c r="F12" s="30" t="n">
        <f aca="false">ROUND(Допущения!$B$26*F$6*Допущения!$B$20,0)</f>
        <v>43</v>
      </c>
      <c r="G12" s="30" t="n">
        <f aca="false">ROUND(Допущения!$B$26*G$6*Допущения!$B$20,0)</f>
        <v>43</v>
      </c>
      <c r="H12" s="30" t="n">
        <f aca="false">ROUND(Допущения!$B$26*H$6*Допущения!$B$20,0)</f>
        <v>50</v>
      </c>
      <c r="I12" s="30" t="n">
        <f aca="false">ROUND(Допущения!$B$26*I$6*Допущения!$B$20,0)</f>
        <v>45</v>
      </c>
      <c r="J12" s="30" t="n">
        <f aca="false">ROUND(Допущения!$B$26*J$6*Допущения!$B$20,0)</f>
        <v>48</v>
      </c>
      <c r="K12" s="30" t="n">
        <f aca="false">ROUND(Допущения!$B$26*K$6*Допущения!$B$20,0)</f>
        <v>45</v>
      </c>
      <c r="L12" s="30" t="n">
        <f aca="false">ROUND(Допущения!$B$26*L$6*Допущения!$B$20,0)</f>
        <v>45</v>
      </c>
      <c r="M12" s="30" t="n">
        <f aca="false">ROUND(Допущения!$B$26*M$6*Допущения!$B$20,0)</f>
        <v>50</v>
      </c>
      <c r="N12" s="30" t="n">
        <f aca="false">ROUND(Допущения!$B$26*N$6*Допущения!$B$20,0)</f>
        <v>50</v>
      </c>
      <c r="O12" s="30" t="n">
        <f aca="false">ROUND(Допущения!$B$26*O$6*Допущения!$B$20,0)</f>
        <v>50</v>
      </c>
      <c r="P12" s="28" t="n">
        <f aca="false">SUM(C12:O12)</f>
        <v>591</v>
      </c>
    </row>
    <row r="13" customFormat="false" ht="15" hidden="false" customHeight="false" outlineLevel="0" collapsed="false">
      <c r="A13" s="20" t="s">
        <v>123</v>
      </c>
      <c r="B13" s="15" t="s">
        <v>118</v>
      </c>
      <c r="C13" s="31" t="n">
        <f aca="false">MIN(C12,C11+C10)</f>
        <v>0</v>
      </c>
      <c r="D13" s="31" t="n">
        <f aca="false">MIN(D12,D11+D10)</f>
        <v>57</v>
      </c>
      <c r="E13" s="31" t="n">
        <f aca="false">MIN(E12,E11+E10)</f>
        <v>65</v>
      </c>
      <c r="F13" s="31" t="n">
        <f aca="false">MIN(F12,F11+F10)</f>
        <v>43</v>
      </c>
      <c r="G13" s="31" t="n">
        <f aca="false">MIN(G12,G11+G10)</f>
        <v>35</v>
      </c>
      <c r="H13" s="31" t="n">
        <f aca="false">MIN(H12,H11+H10)</f>
        <v>50</v>
      </c>
      <c r="I13" s="31" t="n">
        <f aca="false">MIN(I12,I11+I10)</f>
        <v>45</v>
      </c>
      <c r="J13" s="31" t="n">
        <f aca="false">MIN(J12,J11+J10)</f>
        <v>48</v>
      </c>
      <c r="K13" s="31" t="n">
        <f aca="false">MIN(K12,K11+K10)</f>
        <v>45</v>
      </c>
      <c r="L13" s="31" t="n">
        <f aca="false">MIN(L12,L11+L10)</f>
        <v>45</v>
      </c>
      <c r="M13" s="31" t="n">
        <f aca="false">MIN(M12,M11+M10)</f>
        <v>50</v>
      </c>
      <c r="N13" s="31" t="n">
        <f aca="false">MIN(N12,N11+N10)</f>
        <v>50</v>
      </c>
      <c r="O13" s="31" t="n">
        <f aca="false">MIN(O12,O11+O10)</f>
        <v>50</v>
      </c>
      <c r="P13" s="28" t="n">
        <f aca="false">SUM(C13:O13)</f>
        <v>583</v>
      </c>
    </row>
    <row r="14" customFormat="false" ht="15" hidden="false" customHeight="false" outlineLevel="0" collapsed="false">
      <c r="A14" s="5" t="s">
        <v>124</v>
      </c>
      <c r="B14" s="15" t="s">
        <v>118</v>
      </c>
      <c r="C14" s="30" t="n">
        <f aca="false">C11+C10-C13</f>
        <v>0</v>
      </c>
      <c r="D14" s="30" t="n">
        <f aca="false">D11+D10-D13</f>
        <v>143</v>
      </c>
      <c r="E14" s="30" t="n">
        <f aca="false">E11+E10-E13</f>
        <v>78</v>
      </c>
      <c r="F14" s="30" t="n">
        <f aca="false">F11+F10-F13</f>
        <v>35</v>
      </c>
      <c r="G14" s="30" t="n">
        <f aca="false">G11+G10-G13</f>
        <v>0</v>
      </c>
      <c r="H14" s="30" t="n">
        <f aca="false">H11+H10-H13</f>
        <v>150</v>
      </c>
      <c r="I14" s="30" t="n">
        <f aca="false">I11+I10-I13</f>
        <v>105</v>
      </c>
      <c r="J14" s="30" t="n">
        <f aca="false">J11+J10-J13</f>
        <v>57</v>
      </c>
      <c r="K14" s="30" t="n">
        <f aca="false">K11+K10-K13</f>
        <v>12</v>
      </c>
      <c r="L14" s="30" t="n">
        <f aca="false">L11+L10-L13</f>
        <v>167</v>
      </c>
      <c r="M14" s="30" t="n">
        <f aca="false">M11+M10-M13</f>
        <v>117</v>
      </c>
      <c r="N14" s="30" t="n">
        <f aca="false">N11+N10-N13</f>
        <v>67</v>
      </c>
      <c r="O14" s="30" t="n">
        <f aca="false">O11+O10-O13</f>
        <v>17</v>
      </c>
    </row>
    <row r="15" customFormat="false" ht="15" hidden="false" customHeight="false" outlineLevel="0" collapsed="false">
      <c r="A15" s="5" t="s">
        <v>125</v>
      </c>
      <c r="B15" s="15" t="s">
        <v>126</v>
      </c>
      <c r="C15" s="30" t="n">
        <f aca="false">C13*Допущения!$B$25</f>
        <v>0</v>
      </c>
      <c r="D15" s="30" t="n">
        <f aca="false">D13*Допущения!$B$25</f>
        <v>6356298</v>
      </c>
      <c r="E15" s="30" t="n">
        <f aca="false">E13*Допущения!$B$25</f>
        <v>7248410</v>
      </c>
      <c r="F15" s="30" t="n">
        <f aca="false">F13*Допущения!$B$25</f>
        <v>4795102</v>
      </c>
      <c r="G15" s="30" t="n">
        <f aca="false">G13*Допущения!$B$25</f>
        <v>3902990</v>
      </c>
      <c r="H15" s="30" t="n">
        <f aca="false">H13*Допущения!$B$25</f>
        <v>5575700</v>
      </c>
      <c r="I15" s="30" t="n">
        <f aca="false">I13*Допущения!$B$25</f>
        <v>5018130</v>
      </c>
      <c r="J15" s="30" t="n">
        <f aca="false">J13*Допущения!$B$25</f>
        <v>5352672</v>
      </c>
      <c r="K15" s="30" t="n">
        <f aca="false">K13*Допущения!$B$25</f>
        <v>5018130</v>
      </c>
      <c r="L15" s="30" t="n">
        <f aca="false">L13*Допущения!$B$25</f>
        <v>5018130</v>
      </c>
      <c r="M15" s="30" t="n">
        <f aca="false">M13*Допущения!$B$25</f>
        <v>5575700</v>
      </c>
      <c r="N15" s="30" t="n">
        <f aca="false">N13*Допущения!$B$25</f>
        <v>5575700</v>
      </c>
      <c r="O15" s="30" t="n">
        <f aca="false">O13*Допущения!$B$25</f>
        <v>5575700</v>
      </c>
      <c r="P15" s="28" t="n">
        <f aca="false">SUM(C15:O15)</f>
        <v>65012662</v>
      </c>
    </row>
    <row r="16" customFormat="false" ht="15" hidden="false" customHeight="false" outlineLevel="0" collapsed="false">
      <c r="A16" s="5" t="s">
        <v>127</v>
      </c>
      <c r="B16" s="15" t="s">
        <v>126</v>
      </c>
      <c r="C16" s="30" t="n">
        <f aca="false">Допущения!$B$36*C9*Допущения!$B$24+Допущения!$B$6+Допущения!$B$7</f>
        <v>7500000</v>
      </c>
      <c r="D16" s="30" t="n">
        <f aca="false">Допущения!$B$36*D9*Допущения!$B$24+IF(1-0=Допущения!$B$31,(1-Допущения!$B$36)*C9*Допущения!$B$24,0)</f>
        <v>0</v>
      </c>
      <c r="E16" s="30" t="n">
        <f aca="false">Допущения!$B$36*E9*Допущения!$B$24+IF(2-0=Допущения!$B$31,(1-Допущения!$B$36)*C9*Допущения!$B$24,0)+IF(2-1=Допущения!$B$31,(1-Допущения!$B$36)*D9*Допущения!$B$24,0)</f>
        <v>3000000</v>
      </c>
      <c r="F16" s="30" t="n">
        <f aca="false">Допущения!$B$36*F9*Допущения!$B$24+IF(3-0=Допущения!$B$31,(1-Допущения!$B$36)*C9*Допущения!$B$24,0)+IF(3-1=Допущения!$B$31,(1-Допущения!$B$36)*D9*Допущения!$B$24,0)+IF(3-2=Допущения!$B$31,(1-Допущения!$B$36)*E9*Допущения!$B$24,0)</f>
        <v>0</v>
      </c>
      <c r="G16" s="30" t="n">
        <f aca="false">Допущения!$B$36*G9*Допущения!$B$24+IF(4-0=Допущения!$B$31,(1-Допущения!$B$36)*C9*Допущения!$B$24,0)+IF(4-1=Допущения!$B$31,(1-Допущения!$B$36)*D9*Допущения!$B$24,0)+IF(4-2=Допущения!$B$31,(1-Допущения!$B$36)*E9*Допущения!$B$24,0)+IF(4-3=Допущения!$B$31,(1-Допущения!$B$36)*F9*Допущения!$B$24,0)</f>
        <v>7000000</v>
      </c>
      <c r="H16" s="30" t="n">
        <f aca="false">Допущения!$B$36*H9*Допущения!$B$24+IF(5-0=Допущения!$B$31,(1-Допущения!$B$36)*C9*Допущения!$B$24,0)+IF(5-1=Допущения!$B$31,(1-Допущения!$B$36)*D9*Допущения!$B$24,0)+IF(5-2=Допущения!$B$31,(1-Допущения!$B$36)*E9*Допущения!$B$24,0)+IF(5-3=Допущения!$B$31,(1-Допущения!$B$36)*F9*Допущения!$B$24,0)+IF(5-4=Допущения!$B$31,(1-Допущения!$B$36)*G9*Допущения!$B$24,0)</f>
        <v>0</v>
      </c>
      <c r="I16" s="30" t="n">
        <f aca="false">Допущения!$B$36*I9*Допущения!$B$24+IF(6-0=Допущения!$B$31,(1-Допущения!$B$36)*C9*Допущения!$B$24,0)+IF(6-1=Допущения!$B$31,(1-Допущения!$B$36)*D9*Допущения!$B$24,0)+IF(6-2=Допущения!$B$31,(1-Допущения!$B$36)*E9*Допущения!$B$24,0)+IF(6-3=Допущения!$B$31,(1-Допущения!$B$36)*F9*Допущения!$B$24,0)+IF(6-4=Допущения!$B$31,(1-Допущения!$B$36)*G9*Допущения!$B$24,0)+IF(6-5=Допущения!$B$31,(1-Допущения!$B$36)*H9*Допущения!$B$24,0)</f>
        <v>3000000</v>
      </c>
      <c r="J16" s="30" t="n">
        <f aca="false">Допущения!$B$36*J9*Допущения!$B$24+IF(7-0=Допущения!$B$31,(1-Допущения!$B$36)*C9*Допущения!$B$24,0)+IF(7-1=Допущения!$B$31,(1-Допущения!$B$36)*D9*Допущения!$B$24,0)+IF(7-2=Допущения!$B$31,(1-Допущения!$B$36)*E9*Допущения!$B$24,0)+IF(7-3=Допущения!$B$31,(1-Допущения!$B$36)*F9*Допущения!$B$24,0)+IF(7-4=Допущения!$B$31,(1-Допущения!$B$36)*G9*Допущения!$B$24,0)+IF(7-5=Допущения!$B$31,(1-Допущения!$B$36)*H9*Допущения!$B$24,0)+IF(7-6=Допущения!$B$31,(1-Допущения!$B$36)*I9*Допущения!$B$24,0)</f>
        <v>0</v>
      </c>
      <c r="K16" s="30" t="n">
        <f aca="false">Допущения!$B$36*K9*Допущения!$B$24+IF(8-0=Допущения!$B$31,(1-Допущения!$B$36)*C9*Допущения!$B$24,0)+IF(8-1=Допущения!$B$31,(1-Допущения!$B$36)*D9*Допущения!$B$24,0)+IF(8-2=Допущения!$B$31,(1-Допущения!$B$36)*E9*Допущения!$B$24,0)+IF(8-3=Допущения!$B$31,(1-Допущения!$B$36)*F9*Допущения!$B$24,0)+IF(8-4=Допущения!$B$31,(1-Допущения!$B$36)*G9*Допущения!$B$24,0)+IF(8-5=Допущения!$B$31,(1-Допущения!$B$36)*H9*Допущения!$B$24,0)+IF(8-6=Допущения!$B$31,(1-Допущения!$B$36)*I9*Допущения!$B$24,0)+IF(8-7=Допущения!$B$31,(1-Допущения!$B$36)*J9*Допущения!$B$24,0)</f>
        <v>7000000</v>
      </c>
      <c r="L16" s="30" t="n">
        <f aca="false">Допущения!$B$36*L9*Допущения!$B$24+IF(9-0=Допущения!$B$31,(1-Допущения!$B$36)*C9*Допущения!$B$24,0)+IF(9-1=Допущения!$B$31,(1-Допущения!$B$36)*D9*Допущения!$B$24,0)+IF(9-2=Допущения!$B$31,(1-Допущения!$B$36)*E9*Допущения!$B$24,0)+IF(9-3=Допущения!$B$31,(1-Допущения!$B$36)*F9*Допущения!$B$24,0)+IF(9-4=Допущения!$B$31,(1-Допущения!$B$36)*G9*Допущения!$B$24,0)+IF(9-5=Допущения!$B$31,(1-Допущения!$B$36)*H9*Допущения!$B$24,0)+IF(9-6=Допущения!$B$31,(1-Допущения!$B$36)*I9*Допущения!$B$24,0)+IF(9-7=Допущения!$B$31,(1-Допущения!$B$36)*J9*Допущения!$B$24,0)+IF(9-8=Допущения!$B$31,(1-Допущения!$B$36)*K9*Допущения!$B$24,0)</f>
        <v>0</v>
      </c>
      <c r="M16" s="30" t="n">
        <f aca="false">Допущения!$B$36*M9*Допущения!$B$24+IF(10-0=Допущения!$B$31,(1-Допущения!$B$36)*C9*Допущения!$B$24,0)+IF(10-1=Допущения!$B$31,(1-Допущения!$B$36)*D9*Допущения!$B$24,0)+IF(10-2=Допущения!$B$31,(1-Допущения!$B$36)*E9*Допущения!$B$24,0)+IF(10-3=Допущения!$B$31,(1-Допущения!$B$36)*F9*Допущения!$B$24,0)+IF(10-4=Допущения!$B$31,(1-Допущения!$B$36)*G9*Допущения!$B$24,0)+IF(10-5=Допущения!$B$31,(1-Допущения!$B$36)*H9*Допущения!$B$24,0)+IF(10-6=Допущения!$B$31,(1-Допущения!$B$36)*I9*Допущения!$B$24,0)+IF(10-7=Допущения!$B$31,(1-Допущения!$B$36)*J9*Допущения!$B$24,0)+IF(10-8=Допущения!$B$31,(1-Допущения!$B$36)*K9*Допущения!$B$24,0)+IF(10-9=Допущения!$B$31,(1-Допущения!$B$36)*L9*Допущения!$B$24,0)</f>
        <v>0</v>
      </c>
      <c r="N16" s="30" t="n">
        <f aca="false">Допущения!$B$36*N9*Допущения!$B$24+IF(11-0=Допущения!$B$31,(1-Допущения!$B$36)*C9*Допущения!$B$24,0)+IF(11-1=Допущения!$B$31,(1-Допущения!$B$36)*D9*Допущения!$B$24,0)+IF(11-2=Допущения!$B$31,(1-Допущения!$B$36)*E9*Допущения!$B$24,0)+IF(11-3=Допущения!$B$31,(1-Допущения!$B$36)*F9*Допущения!$B$24,0)+IF(11-4=Допущения!$B$31,(1-Допущения!$B$36)*G9*Допущения!$B$24,0)+IF(11-5=Допущения!$B$31,(1-Допущения!$B$36)*H9*Допущения!$B$24,0)+IF(11-6=Допущения!$B$31,(1-Допущения!$B$36)*I9*Допущения!$B$24,0)+IF(11-7=Допущения!$B$31,(1-Допущения!$B$36)*J9*Допущения!$B$24,0)+IF(11-8=Допущения!$B$31,(1-Допущения!$B$36)*K9*Допущения!$B$24,0)+IF(11-9=Допущения!$B$31,(1-Допущения!$B$36)*L9*Допущения!$B$24,0)+IF(11-10=Допущения!$B$31,(1-Допущения!$B$36)*M9*Допущения!$B$24,0)</f>
        <v>0</v>
      </c>
      <c r="O16" s="30" t="n">
        <f aca="false">Допущения!$B$36*O9*Допущения!$B$24+IF(12-0=Допущения!$B$31,(1-Допущения!$B$36)*C9*Допущения!$B$24,0)+IF(12-1=Допущения!$B$31,(1-Допущения!$B$36)*D9*Допущения!$B$24,0)+IF(12-2=Допущения!$B$31,(1-Допущения!$B$36)*E9*Допущения!$B$24,0)+IF(12-3=Допущения!$B$31,(1-Допущения!$B$36)*F9*Допущения!$B$24,0)+IF(12-4=Допущения!$B$31,(1-Допущения!$B$36)*G9*Допущения!$B$24,0)+IF(12-5=Допущения!$B$31,(1-Допущения!$B$36)*H9*Допущения!$B$24,0)+IF(12-6=Допущения!$B$31,(1-Допущения!$B$36)*I9*Допущения!$B$24,0)+IF(12-7=Допущения!$B$31,(1-Допущения!$B$36)*J9*Допущения!$B$24,0)+IF(12-8=Допущения!$B$31,(1-Допущения!$B$36)*K9*Допущения!$B$24,0)+IF(12-9=Допущения!$B$31,(1-Допущения!$B$36)*L9*Допущения!$B$24,0)+IF(12-10=Допущения!$B$31,(1-Допущения!$B$36)*M9*Допущения!$B$24,0)+IF(12-11=Допущения!$B$31,(1-Допущения!$B$36)*N9*Допущения!$B$24,0)</f>
        <v>0</v>
      </c>
      <c r="P16" s="28" t="n">
        <f aca="false">SUM(C16:O16)</f>
        <v>27500000</v>
      </c>
    </row>
    <row r="17" customFormat="false" ht="15" hidden="false" customHeight="false" outlineLevel="0" collapsed="false">
      <c r="A17" s="5" t="s">
        <v>128</v>
      </c>
      <c r="B17" s="15" t="s">
        <v>126</v>
      </c>
      <c r="C17" s="30" t="n">
        <f aca="false">C15*(Допущения!$B$27+Допущения!$B$30)+C13*Допущения!$B$29</f>
        <v>0</v>
      </c>
      <c r="D17" s="30" t="n">
        <f aca="false">D15*(Допущения!$B$27+Допущения!$B$30)+D13*Допущения!$B$29</f>
        <v>961810.932</v>
      </c>
      <c r="E17" s="30" t="n">
        <f aca="false">E15*(Допущения!$B$27+Допущения!$B$30)+E13*Допущения!$B$29</f>
        <v>1096801.94</v>
      </c>
      <c r="F17" s="30" t="n">
        <f aca="false">F15*(Допущения!$B$27+Допущения!$B$30)+F13*Допущения!$B$29</f>
        <v>725576.668</v>
      </c>
      <c r="G17" s="30" t="n">
        <f aca="false">G15*(Допущения!$B$27+Допущения!$B$30)+G13*Допущения!$B$29</f>
        <v>590585.66</v>
      </c>
      <c r="H17" s="30" t="n">
        <f aca="false">H15*(Допущения!$B$27+Допущения!$B$30)+H13*Допущения!$B$29</f>
        <v>843693.8</v>
      </c>
      <c r="I17" s="30" t="n">
        <f aca="false">I15*(Допущения!$B$27+Допущения!$B$30)+I13*Допущения!$B$29</f>
        <v>759324.42</v>
      </c>
      <c r="J17" s="30" t="n">
        <f aca="false">J15*(Допущения!$B$27+Допущения!$B$30)+J13*Допущения!$B$29</f>
        <v>809946.048</v>
      </c>
      <c r="K17" s="30" t="n">
        <f aca="false">K15*(Допущения!$B$27+Допущения!$B$30)+K13*Допущения!$B$29</f>
        <v>759324.42</v>
      </c>
      <c r="L17" s="30" t="n">
        <f aca="false">L15*(Допущения!$B$27+Допущения!$B$30)+L13*Допущения!$B$29</f>
        <v>759324.42</v>
      </c>
      <c r="M17" s="30" t="n">
        <f aca="false">M15*(Допущения!$B$27+Допущения!$B$30)+M13*Допущения!$B$29</f>
        <v>843693.8</v>
      </c>
      <c r="N17" s="30" t="n">
        <f aca="false">N15*(Допущения!$B$27+Допущения!$B$30)+N13*Допущения!$B$29</f>
        <v>843693.8</v>
      </c>
      <c r="O17" s="30" t="n">
        <f aca="false">O15*(Допущения!$B$27+Допущения!$B$30)+O13*Допущения!$B$29</f>
        <v>843693.8</v>
      </c>
      <c r="P17" s="28" t="n">
        <f aca="false">SUM(C17:O17)</f>
        <v>9837469.708</v>
      </c>
    </row>
    <row r="18" customFormat="false" ht="15" hidden="false" customHeight="false" outlineLevel="0" collapsed="false">
      <c r="A18" s="20" t="s">
        <v>129</v>
      </c>
      <c r="B18" s="15" t="s">
        <v>126</v>
      </c>
      <c r="C18" s="31" t="n">
        <f aca="false">C15-C13*Допущения!$B$24-C17</f>
        <v>0</v>
      </c>
      <c r="D18" s="31" t="n">
        <f aca="false">D15-D13*Допущения!$B$24-D17</f>
        <v>2544487.068</v>
      </c>
      <c r="E18" s="31" t="n">
        <f aca="false">E15-E13*Допущения!$B$24-E17</f>
        <v>2901608.06</v>
      </c>
      <c r="F18" s="31" t="n">
        <f aca="false">F15-F13*Допущения!$B$24-F17</f>
        <v>1919525.332</v>
      </c>
      <c r="G18" s="31" t="n">
        <f aca="false">G15-G13*Допущения!$B$24-G17</f>
        <v>1562404.34</v>
      </c>
      <c r="H18" s="31" t="n">
        <f aca="false">H15-H13*Допущения!$B$24-H17</f>
        <v>2232006.2</v>
      </c>
      <c r="I18" s="31" t="n">
        <f aca="false">I15-I13*Допущения!$B$24-I17</f>
        <v>2008805.58</v>
      </c>
      <c r="J18" s="31" t="n">
        <f aca="false">J15-J13*Допущения!$B$24-J17</f>
        <v>2142725.952</v>
      </c>
      <c r="K18" s="31" t="n">
        <f aca="false">K15-K13*Допущения!$B$24-K17</f>
        <v>2008805.58</v>
      </c>
      <c r="L18" s="31" t="n">
        <f aca="false">L15-L13*Допущения!$B$24-L17</f>
        <v>2008805.58</v>
      </c>
      <c r="M18" s="31" t="n">
        <f aca="false">M15-M13*Допущения!$B$24-M17</f>
        <v>2232006.2</v>
      </c>
      <c r="N18" s="31" t="n">
        <f aca="false">N15-N13*Допущения!$B$24-N17</f>
        <v>2232006.2</v>
      </c>
      <c r="O18" s="31" t="n">
        <f aca="false">O15-O13*Допущения!$B$24-O17</f>
        <v>2232006.2</v>
      </c>
      <c r="P18" s="28" t="n">
        <f aca="false">SUM(C18:O18)</f>
        <v>26025192.292</v>
      </c>
    </row>
    <row r="19" customFormat="false" ht="15" hidden="false" customHeight="false" outlineLevel="0" collapsed="false">
      <c r="A19" s="3" t="s">
        <v>65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customFormat="false" ht="15" hidden="false" customHeight="false" outlineLevel="0" collapsed="false">
      <c r="A20" s="5" t="s">
        <v>119</v>
      </c>
      <c r="B20" s="15" t="s">
        <v>118</v>
      </c>
      <c r="C20" s="29" t="n">
        <v>150</v>
      </c>
      <c r="D20" s="29" t="n">
        <v>70</v>
      </c>
      <c r="E20" s="29" t="n">
        <v>100</v>
      </c>
      <c r="F20" s="29" t="n">
        <v>85</v>
      </c>
      <c r="G20" s="29" t="n">
        <v>100</v>
      </c>
      <c r="H20" s="29" t="n">
        <v>90</v>
      </c>
      <c r="I20" s="29" t="n">
        <v>95</v>
      </c>
      <c r="J20" s="29" t="n">
        <v>90</v>
      </c>
      <c r="K20" s="29" t="n">
        <v>90</v>
      </c>
      <c r="L20" s="29" t="n">
        <v>100</v>
      </c>
      <c r="M20" s="29" t="n">
        <v>100</v>
      </c>
      <c r="N20" s="29" t="n">
        <v>0</v>
      </c>
      <c r="O20" s="29" t="n">
        <v>0</v>
      </c>
      <c r="P20" s="28" t="n">
        <f aca="false">SUM(C20:O20)</f>
        <v>1070</v>
      </c>
    </row>
    <row r="21" customFormat="false" ht="15" hidden="false" customHeight="false" outlineLevel="0" collapsed="false">
      <c r="A21" s="5" t="s">
        <v>120</v>
      </c>
      <c r="B21" s="15" t="s">
        <v>118</v>
      </c>
      <c r="C21" s="30" t="n">
        <f aca="false">0</f>
        <v>0</v>
      </c>
      <c r="D21" s="30" t="n">
        <f aca="false">IF(1-0=Допущения!$C$32,C20,0)</f>
        <v>0</v>
      </c>
      <c r="E21" s="30" t="n">
        <f aca="false">IF(2-0=Допущения!$C$32,C20,0)+IF(2-1=Допущения!$C$32,D20,0)</f>
        <v>150</v>
      </c>
      <c r="F21" s="30" t="n">
        <f aca="false">IF(3-0=Допущения!$C$32,C20,0)+IF(3-1=Допущения!$C$32,D20,0)+IF(3-2=Допущения!$C$32,E20,0)</f>
        <v>70</v>
      </c>
      <c r="G21" s="30" t="n">
        <f aca="false">IF(4-0=Допущения!$C$32,C20,0)+IF(4-1=Допущения!$C$32,D20,0)+IF(4-2=Допущения!$C$32,E20,0)+IF(4-3=Допущения!$C$32,F20,0)</f>
        <v>100</v>
      </c>
      <c r="H21" s="30" t="n">
        <f aca="false">IF(5-0=Допущения!$C$32,C20,0)+IF(5-1=Допущения!$C$32,D20,0)+IF(5-2=Допущения!$C$32,E20,0)+IF(5-3=Допущения!$C$32,F20,0)+IF(5-4=Допущения!$C$32,G20,0)</f>
        <v>85</v>
      </c>
      <c r="I21" s="30" t="n">
        <f aca="false">IF(6-0=Допущения!$C$32,C20,0)+IF(6-1=Допущения!$C$32,D20,0)+IF(6-2=Допущения!$C$32,E20,0)+IF(6-3=Допущения!$C$32,F20,0)+IF(6-4=Допущения!$C$32,G20,0)+IF(6-5=Допущения!$C$32,H20,0)</f>
        <v>100</v>
      </c>
      <c r="J21" s="30" t="n">
        <f aca="false">IF(7-0=Допущения!$C$32,C20,0)+IF(7-1=Допущения!$C$32,D20,0)+IF(7-2=Допущения!$C$32,E20,0)+IF(7-3=Допущения!$C$32,F20,0)+IF(7-4=Допущения!$C$32,G20,0)+IF(7-5=Допущения!$C$32,H20,0)+IF(7-6=Допущения!$C$32,I20,0)</f>
        <v>90</v>
      </c>
      <c r="K21" s="30" t="n">
        <f aca="false">IF(8-0=Допущения!$C$32,C20,0)+IF(8-1=Допущения!$C$32,D20,0)+IF(8-2=Допущения!$C$32,E20,0)+IF(8-3=Допущения!$C$32,F20,0)+IF(8-4=Допущения!$C$32,G20,0)+IF(8-5=Допущения!$C$32,H20,0)+IF(8-6=Допущения!$C$32,I20,0)+IF(8-7=Допущения!$C$32,J20,0)</f>
        <v>95</v>
      </c>
      <c r="L21" s="30" t="n">
        <f aca="false">IF(9-0=Допущения!$C$32,C20,0)+IF(9-1=Допущения!$C$32,D20,0)+IF(9-2=Допущения!$C$32,E20,0)+IF(9-3=Допущения!$C$32,F20,0)+IF(9-4=Допущения!$C$32,G20,0)+IF(9-5=Допущения!$C$32,H20,0)+IF(9-6=Допущения!$C$32,I20,0)+IF(9-7=Допущения!$C$32,J20,0)+IF(9-8=Допущения!$C$32,K20,0)</f>
        <v>90</v>
      </c>
      <c r="M21" s="30" t="n">
        <f aca="false">IF(10-0=Допущения!$C$32,C20,0)+IF(10-1=Допущения!$C$32,D20,0)+IF(10-2=Допущения!$C$32,E20,0)+IF(10-3=Допущения!$C$32,F20,0)+IF(10-4=Допущения!$C$32,G20,0)+IF(10-5=Допущения!$C$32,H20,0)+IF(10-6=Допущения!$C$32,I20,0)+IF(10-7=Допущения!$C$32,J20,0)+IF(10-8=Допущения!$C$32,K20,0)+IF(10-9=Допущения!$C$32,L20,0)</f>
        <v>90</v>
      </c>
      <c r="N21" s="30" t="n">
        <f aca="false">IF(11-0=Допущения!$C$32,C20,0)+IF(11-1=Допущения!$C$32,D20,0)+IF(11-2=Допущения!$C$32,E20,0)+IF(11-3=Допущения!$C$32,F20,0)+IF(11-4=Допущения!$C$32,G20,0)+IF(11-5=Допущения!$C$32,H20,0)+IF(11-6=Допущения!$C$32,I20,0)+IF(11-7=Допущения!$C$32,J20,0)+IF(11-8=Допущения!$C$32,K20,0)+IF(11-9=Допущения!$C$32,L20,0)+IF(11-10=Допущения!$C$32,M20,0)</f>
        <v>100</v>
      </c>
      <c r="O21" s="30" t="n">
        <f aca="false">IF(12-0=Допущения!$C$32,C20,0)+IF(12-1=Допущения!$C$32,D20,0)+IF(12-2=Допущения!$C$32,E20,0)+IF(12-3=Допущения!$C$32,F20,0)+IF(12-4=Допущения!$C$32,G20,0)+IF(12-5=Допущения!$C$32,H20,0)+IF(12-6=Допущения!$C$32,I20,0)+IF(12-7=Допущения!$C$32,J20,0)+IF(12-8=Допущения!$C$32,K20,0)+IF(12-9=Допущения!$C$32,L20,0)+IF(12-10=Допущения!$C$32,M20,0)+IF(12-11=Допущения!$C$32,N20,0)</f>
        <v>100</v>
      </c>
      <c r="P21" s="28" t="n">
        <f aca="false">SUM(C21:O21)</f>
        <v>1070</v>
      </c>
    </row>
    <row r="22" customFormat="false" ht="15" hidden="false" customHeight="false" outlineLevel="0" collapsed="false">
      <c r="A22" s="5" t="s">
        <v>121</v>
      </c>
      <c r="B22" s="15" t="s">
        <v>118</v>
      </c>
      <c r="C22" s="30" t="n">
        <v>0</v>
      </c>
      <c r="D22" s="30" t="n">
        <f aca="false">C25</f>
        <v>0</v>
      </c>
      <c r="E22" s="30" t="n">
        <f aca="false">D25</f>
        <v>0</v>
      </c>
      <c r="F22" s="30" t="n">
        <f aca="false">E25</f>
        <v>20</v>
      </c>
      <c r="G22" s="30" t="n">
        <f aca="false">F25</f>
        <v>5</v>
      </c>
      <c r="H22" s="30" t="n">
        <f aca="false">G25</f>
        <v>20</v>
      </c>
      <c r="I22" s="30" t="n">
        <f aca="false">H25</f>
        <v>5</v>
      </c>
      <c r="J22" s="30" t="n">
        <f aca="false">I25</f>
        <v>15</v>
      </c>
      <c r="K22" s="30" t="n">
        <f aca="false">J25</f>
        <v>10</v>
      </c>
      <c r="L22" s="30" t="n">
        <f aca="false">K25</f>
        <v>15</v>
      </c>
      <c r="M22" s="30" t="n">
        <f aca="false">L25</f>
        <v>15</v>
      </c>
      <c r="N22" s="30" t="n">
        <f aca="false">M25</f>
        <v>5</v>
      </c>
      <c r="O22" s="30" t="n">
        <f aca="false">N25</f>
        <v>5</v>
      </c>
    </row>
    <row r="23" customFormat="false" ht="15" hidden="false" customHeight="false" outlineLevel="0" collapsed="false">
      <c r="A23" s="5" t="s">
        <v>122</v>
      </c>
      <c r="B23" s="15" t="s">
        <v>118</v>
      </c>
      <c r="C23" s="30" t="n">
        <v>0</v>
      </c>
      <c r="D23" s="30" t="n">
        <f aca="false">ROUND(Допущения!$C$26*D$6*Допущения!$B$20,0)</f>
        <v>115</v>
      </c>
      <c r="E23" s="30" t="n">
        <f aca="false">ROUND(Допущения!$C$26*E$6*Допущения!$B$20,0)</f>
        <v>130</v>
      </c>
      <c r="F23" s="30" t="n">
        <f aca="false">ROUND(Допущения!$C$26*F$6*Допущения!$B$20,0)</f>
        <v>85</v>
      </c>
      <c r="G23" s="30" t="n">
        <f aca="false">ROUND(Допущения!$C$26*G$6*Допущения!$B$20,0)</f>
        <v>85</v>
      </c>
      <c r="H23" s="30" t="n">
        <f aca="false">ROUND(Допущения!$C$26*H$6*Допущения!$B$20,0)</f>
        <v>100</v>
      </c>
      <c r="I23" s="30" t="n">
        <f aca="false">ROUND(Допущения!$C$26*I$6*Допущения!$B$20,0)</f>
        <v>90</v>
      </c>
      <c r="J23" s="30" t="n">
        <f aca="false">ROUND(Допущения!$C$26*J$6*Допущения!$B$20,0)</f>
        <v>95</v>
      </c>
      <c r="K23" s="30" t="n">
        <f aca="false">ROUND(Допущения!$C$26*K$6*Допущения!$B$20,0)</f>
        <v>90</v>
      </c>
      <c r="L23" s="30" t="n">
        <f aca="false">ROUND(Допущения!$C$26*L$6*Допущения!$B$20,0)</f>
        <v>90</v>
      </c>
      <c r="M23" s="30" t="n">
        <f aca="false">ROUND(Допущения!$C$26*M$6*Допущения!$B$20,0)</f>
        <v>100</v>
      </c>
      <c r="N23" s="30" t="n">
        <f aca="false">ROUND(Допущения!$C$26*N$6*Допущения!$B$20,0)</f>
        <v>100</v>
      </c>
      <c r="O23" s="30" t="n">
        <f aca="false">ROUND(Допущения!$C$26*O$6*Допущения!$B$20,0)</f>
        <v>100</v>
      </c>
      <c r="P23" s="28" t="n">
        <f aca="false">SUM(C23:O23)</f>
        <v>1180</v>
      </c>
    </row>
    <row r="24" customFormat="false" ht="15" hidden="false" customHeight="false" outlineLevel="0" collapsed="false">
      <c r="A24" s="20" t="s">
        <v>123</v>
      </c>
      <c r="B24" s="15" t="s">
        <v>118</v>
      </c>
      <c r="C24" s="31" t="n">
        <f aca="false">MIN(C23,C22+C21)</f>
        <v>0</v>
      </c>
      <c r="D24" s="31" t="n">
        <f aca="false">MIN(D23,D22+D21)</f>
        <v>0</v>
      </c>
      <c r="E24" s="31" t="n">
        <f aca="false">MIN(E23,E22+E21)</f>
        <v>130</v>
      </c>
      <c r="F24" s="31" t="n">
        <f aca="false">MIN(F23,F22+F21)</f>
        <v>85</v>
      </c>
      <c r="G24" s="31" t="n">
        <f aca="false">MIN(G23,G22+G21)</f>
        <v>85</v>
      </c>
      <c r="H24" s="31" t="n">
        <f aca="false">MIN(H23,H22+H21)</f>
        <v>100</v>
      </c>
      <c r="I24" s="31" t="n">
        <f aca="false">MIN(I23,I22+I21)</f>
        <v>90</v>
      </c>
      <c r="J24" s="31" t="n">
        <f aca="false">MIN(J23,J22+J21)</f>
        <v>95</v>
      </c>
      <c r="K24" s="31" t="n">
        <f aca="false">MIN(K23,K22+K21)</f>
        <v>90</v>
      </c>
      <c r="L24" s="31" t="n">
        <f aca="false">MIN(L23,L22+L21)</f>
        <v>90</v>
      </c>
      <c r="M24" s="31" t="n">
        <f aca="false">MIN(M23,M22+M21)</f>
        <v>100</v>
      </c>
      <c r="N24" s="31" t="n">
        <f aca="false">MIN(N23,N22+N21)</f>
        <v>100</v>
      </c>
      <c r="O24" s="31" t="n">
        <f aca="false">MIN(O23,O22+O21)</f>
        <v>100</v>
      </c>
      <c r="P24" s="28" t="n">
        <f aca="false">SUM(C24:O24)</f>
        <v>1065</v>
      </c>
    </row>
    <row r="25" customFormat="false" ht="15" hidden="false" customHeight="false" outlineLevel="0" collapsed="false">
      <c r="A25" s="5" t="s">
        <v>124</v>
      </c>
      <c r="B25" s="15" t="s">
        <v>118</v>
      </c>
      <c r="C25" s="30" t="n">
        <f aca="false">C22+C21-C24</f>
        <v>0</v>
      </c>
      <c r="D25" s="30" t="n">
        <f aca="false">D22+D21-D24</f>
        <v>0</v>
      </c>
      <c r="E25" s="30" t="n">
        <f aca="false">E22+E21-E24</f>
        <v>20</v>
      </c>
      <c r="F25" s="30" t="n">
        <f aca="false">F22+F21-F24</f>
        <v>5</v>
      </c>
      <c r="G25" s="30" t="n">
        <f aca="false">G22+G21-G24</f>
        <v>20</v>
      </c>
      <c r="H25" s="30" t="n">
        <f aca="false">H22+H21-H24</f>
        <v>5</v>
      </c>
      <c r="I25" s="30" t="n">
        <f aca="false">I22+I21-I24</f>
        <v>15</v>
      </c>
      <c r="J25" s="30" t="n">
        <f aca="false">J22+J21-J24</f>
        <v>10</v>
      </c>
      <c r="K25" s="30" t="n">
        <f aca="false">K22+K21-K24</f>
        <v>15</v>
      </c>
      <c r="L25" s="30" t="n">
        <f aca="false">L22+L21-L24</f>
        <v>15</v>
      </c>
      <c r="M25" s="30" t="n">
        <f aca="false">M22+M21-M24</f>
        <v>5</v>
      </c>
      <c r="N25" s="30" t="n">
        <f aca="false">N22+N21-N24</f>
        <v>5</v>
      </c>
      <c r="O25" s="30" t="n">
        <f aca="false">O22+O21-O24</f>
        <v>5</v>
      </c>
    </row>
    <row r="26" customFormat="false" ht="15" hidden="false" customHeight="false" outlineLevel="0" collapsed="false">
      <c r="A26" s="5" t="s">
        <v>125</v>
      </c>
      <c r="B26" s="15" t="s">
        <v>126</v>
      </c>
      <c r="C26" s="30" t="n">
        <f aca="false">C24*Допущения!$C$25</f>
        <v>0</v>
      </c>
      <c r="D26" s="30" t="n">
        <f aca="false">D24*Допущения!$C$25</f>
        <v>0</v>
      </c>
      <c r="E26" s="30" t="n">
        <f aca="false">E24*Допущения!$C$25</f>
        <v>1474720</v>
      </c>
      <c r="F26" s="30" t="n">
        <f aca="false">F24*Допущения!$C$25</f>
        <v>964240</v>
      </c>
      <c r="G26" s="30" t="n">
        <f aca="false">G24*Допущения!$C$25</f>
        <v>964240</v>
      </c>
      <c r="H26" s="30" t="n">
        <f aca="false">H24*Допущения!$C$25</f>
        <v>1134400</v>
      </c>
      <c r="I26" s="30" t="n">
        <f aca="false">I24*Допущения!$C$25</f>
        <v>1020960</v>
      </c>
      <c r="J26" s="30" t="n">
        <f aca="false">J24*Допущения!$C$25</f>
        <v>1077680</v>
      </c>
      <c r="K26" s="30" t="n">
        <f aca="false">K24*Допущения!$C$25</f>
        <v>1020960</v>
      </c>
      <c r="L26" s="30" t="n">
        <f aca="false">L24*Допущения!$C$25</f>
        <v>1020960</v>
      </c>
      <c r="M26" s="30" t="n">
        <f aca="false">M24*Допущения!$C$25</f>
        <v>1134400</v>
      </c>
      <c r="N26" s="30" t="n">
        <f aca="false">N24*Допущения!$C$25</f>
        <v>1134400</v>
      </c>
      <c r="O26" s="30" t="n">
        <f aca="false">O24*Допущения!$C$25</f>
        <v>1134400</v>
      </c>
      <c r="P26" s="28" t="n">
        <f aca="false">SUM(C26:O26)</f>
        <v>12081360</v>
      </c>
    </row>
    <row r="27" customFormat="false" ht="15" hidden="false" customHeight="false" outlineLevel="0" collapsed="false">
      <c r="A27" s="5" t="s">
        <v>127</v>
      </c>
      <c r="B27" s="15" t="s">
        <v>126</v>
      </c>
      <c r="C27" s="30" t="n">
        <f aca="false">Допущения!$B$36*C20*Допущения!$C$24</f>
        <v>180000</v>
      </c>
      <c r="D27" s="30" t="n">
        <f aca="false">Допущения!$B$36*D20*Допущения!$C$24+IF(1-0=Допущения!$C$31,(1-Допущения!$B$36)*C20*Допущения!$C$24,0)</f>
        <v>504000</v>
      </c>
      <c r="E27" s="30" t="n">
        <f aca="false">Допущения!$B$36*E20*Допущения!$C$24+IF(2-0=Допущения!$C$31,(1-Допущения!$B$36)*C20*Допущения!$C$24,0)+IF(2-1=Допущения!$C$31,(1-Допущения!$B$36)*D20*Допущения!$C$24,0)</f>
        <v>316000</v>
      </c>
      <c r="F27" s="30" t="n">
        <f aca="false">Допущения!$B$36*F20*Допущения!$C$24+IF(3-0=Допущения!$C$31,(1-Допущения!$B$36)*C20*Допущения!$C$24,0)+IF(3-1=Допущения!$C$31,(1-Допущения!$B$36)*D20*Допущения!$C$24,0)+IF(3-2=Допущения!$C$31,(1-Допущения!$B$36)*E20*Допущения!$C$24,0)</f>
        <v>382000</v>
      </c>
      <c r="G27" s="30" t="n">
        <f aca="false">Допущения!$B$36*G20*Допущения!$C$24+IF(4-0=Допущения!$C$31,(1-Допущения!$B$36)*C20*Допущения!$C$24,0)+IF(4-1=Допущения!$C$31,(1-Допущения!$B$36)*D20*Допущения!$C$24,0)+IF(4-2=Допущения!$C$31,(1-Допущения!$B$36)*E20*Допущения!$C$24,0)+IF(4-3=Допущения!$C$31,(1-Допущения!$B$36)*F20*Допущения!$C$24,0)</f>
        <v>358000</v>
      </c>
      <c r="H27" s="30" t="n">
        <f aca="false">Допущения!$B$36*H20*Допущения!$C$24+IF(5-0=Допущения!$C$31,(1-Допущения!$B$36)*C20*Допущения!$C$24,0)+IF(5-1=Допущения!$C$31,(1-Допущения!$B$36)*D20*Допущения!$C$24,0)+IF(5-2=Допущения!$C$31,(1-Допущения!$B$36)*E20*Допущения!$C$24,0)+IF(5-3=Допущения!$C$31,(1-Допущения!$B$36)*F20*Допущения!$C$24,0)+IF(5-4=Допущения!$C$31,(1-Допущения!$B$36)*G20*Допущения!$C$24,0)</f>
        <v>388000</v>
      </c>
      <c r="I27" s="30" t="n">
        <f aca="false">Допущения!$B$36*I20*Допущения!$C$24+IF(6-0=Допущения!$C$31,(1-Допущения!$B$36)*C20*Допущения!$C$24,0)+IF(6-1=Допущения!$C$31,(1-Допущения!$B$36)*D20*Допущения!$C$24,0)+IF(6-2=Допущения!$C$31,(1-Допущения!$B$36)*E20*Допущения!$C$24,0)+IF(6-3=Допущения!$C$31,(1-Допущения!$B$36)*F20*Допущения!$C$24,0)+IF(6-4=Допущения!$C$31,(1-Допущения!$B$36)*G20*Допущения!$C$24,0)+IF(6-5=Допущения!$C$31,(1-Допущения!$B$36)*H20*Допущения!$C$24,0)</f>
        <v>366000</v>
      </c>
      <c r="J27" s="30" t="n">
        <f aca="false">Допущения!$B$36*J20*Допущения!$C$24+IF(7-0=Допущения!$C$31,(1-Допущения!$B$36)*C20*Допущения!$C$24,0)+IF(7-1=Допущения!$C$31,(1-Допущения!$B$36)*D20*Допущения!$C$24,0)+IF(7-2=Допущения!$C$31,(1-Допущения!$B$36)*E20*Допущения!$C$24,0)+IF(7-3=Допущения!$C$31,(1-Допущения!$B$36)*F20*Допущения!$C$24,0)+IF(7-4=Допущения!$C$31,(1-Допущения!$B$36)*G20*Допущения!$C$24,0)+IF(7-5=Допущения!$C$31,(1-Допущения!$B$36)*H20*Допущения!$C$24,0)+IF(7-6=Допущения!$C$31,(1-Допущения!$B$36)*I20*Допущения!$C$24,0)</f>
        <v>374000</v>
      </c>
      <c r="K27" s="30" t="n">
        <f aca="false">Допущения!$B$36*K20*Допущения!$C$24+IF(8-0=Допущения!$C$31,(1-Допущения!$B$36)*C20*Допущения!$C$24,0)+IF(8-1=Допущения!$C$31,(1-Допущения!$B$36)*D20*Допущения!$C$24,0)+IF(8-2=Допущения!$C$31,(1-Допущения!$B$36)*E20*Допущения!$C$24,0)+IF(8-3=Допущения!$C$31,(1-Допущения!$B$36)*F20*Допущения!$C$24,0)+IF(8-4=Допущения!$C$31,(1-Допущения!$B$36)*G20*Допущения!$C$24,0)+IF(8-5=Допущения!$C$31,(1-Допущения!$B$36)*H20*Допущения!$C$24,0)+IF(8-6=Допущения!$C$31,(1-Допущения!$B$36)*I20*Допущения!$C$24,0)+IF(8-7=Допущения!$C$31,(1-Допущения!$B$36)*J20*Допущения!$C$24,0)</f>
        <v>360000</v>
      </c>
      <c r="L27" s="30" t="n">
        <f aca="false">Допущения!$B$36*L20*Допущения!$C$24+IF(9-0=Допущения!$C$31,(1-Допущения!$B$36)*C20*Допущения!$C$24,0)+IF(9-1=Допущения!$C$31,(1-Допущения!$B$36)*D20*Допущения!$C$24,0)+IF(9-2=Допущения!$C$31,(1-Допущения!$B$36)*E20*Допущения!$C$24,0)+IF(9-3=Допущения!$C$31,(1-Допущения!$B$36)*F20*Допущения!$C$24,0)+IF(9-4=Допущения!$C$31,(1-Допущения!$B$36)*G20*Допущения!$C$24,0)+IF(9-5=Допущения!$C$31,(1-Допущения!$B$36)*H20*Допущения!$C$24,0)+IF(9-6=Допущения!$C$31,(1-Допущения!$B$36)*I20*Допущения!$C$24,0)+IF(9-7=Допущения!$C$31,(1-Допущения!$B$36)*J20*Допущения!$C$24,0)+IF(9-8=Допущения!$C$31,(1-Допущения!$B$36)*K20*Допущения!$C$24,0)</f>
        <v>372000</v>
      </c>
      <c r="M27" s="30" t="n">
        <f aca="false">Допущения!$B$36*M20*Допущения!$C$24+IF(10-0=Допущения!$C$31,(1-Допущения!$B$36)*C20*Допущения!$C$24,0)+IF(10-1=Допущения!$C$31,(1-Допущения!$B$36)*D20*Допущения!$C$24,0)+IF(10-2=Допущения!$C$31,(1-Допущения!$B$36)*E20*Допущения!$C$24,0)+IF(10-3=Допущения!$C$31,(1-Допущения!$B$36)*F20*Допущения!$C$24,0)+IF(10-4=Допущения!$C$31,(1-Допущения!$B$36)*G20*Допущения!$C$24,0)+IF(10-5=Допущения!$C$31,(1-Допущения!$B$36)*H20*Допущения!$C$24,0)+IF(10-6=Допущения!$C$31,(1-Допущения!$B$36)*I20*Допущения!$C$24,0)+IF(10-7=Допущения!$C$31,(1-Допущения!$B$36)*J20*Допущения!$C$24,0)+IF(10-8=Допущения!$C$31,(1-Допущения!$B$36)*K20*Допущения!$C$24,0)+IF(10-9=Допущения!$C$31,(1-Допущения!$B$36)*L20*Допущения!$C$24,0)</f>
        <v>400000</v>
      </c>
      <c r="N27" s="30" t="n">
        <f aca="false">Допущения!$B$36*N20*Допущения!$C$24+IF(11-0=Допущения!$C$31,(1-Допущения!$B$36)*C20*Допущения!$C$24,0)+IF(11-1=Допущения!$C$31,(1-Допущения!$B$36)*D20*Допущения!$C$24,0)+IF(11-2=Допущения!$C$31,(1-Допущения!$B$36)*E20*Допущения!$C$24,0)+IF(11-3=Допущения!$C$31,(1-Допущения!$B$36)*F20*Допущения!$C$24,0)+IF(11-4=Допущения!$C$31,(1-Допущения!$B$36)*G20*Допущения!$C$24,0)+IF(11-5=Допущения!$C$31,(1-Допущения!$B$36)*H20*Допущения!$C$24,0)+IF(11-6=Допущения!$C$31,(1-Допущения!$B$36)*I20*Допущения!$C$24,0)+IF(11-7=Допущения!$C$31,(1-Допущения!$B$36)*J20*Допущения!$C$24,0)+IF(11-8=Допущения!$C$31,(1-Допущения!$B$36)*K20*Допущения!$C$24,0)+IF(11-9=Допущения!$C$31,(1-Допущения!$B$36)*L20*Допущения!$C$24,0)+IF(11-10=Допущения!$C$31,(1-Допущения!$B$36)*M20*Допущения!$C$24,0)</f>
        <v>280000</v>
      </c>
      <c r="O27" s="30" t="n">
        <f aca="false">Допущения!$B$36*O20*Допущения!$C$24+IF(12-0=Допущения!$C$31,(1-Допущения!$B$36)*C20*Допущения!$C$24,0)+IF(12-1=Допущения!$C$31,(1-Допущения!$B$36)*D20*Допущения!$C$24,0)+IF(12-2=Допущения!$C$31,(1-Допущения!$B$36)*E20*Допущения!$C$24,0)+IF(12-3=Допущения!$C$31,(1-Допущения!$B$36)*F20*Допущения!$C$24,0)+IF(12-4=Допущения!$C$31,(1-Допущения!$B$36)*G20*Допущения!$C$24,0)+IF(12-5=Допущения!$C$31,(1-Допущения!$B$36)*H20*Допущения!$C$24,0)+IF(12-6=Допущения!$C$31,(1-Допущения!$B$36)*I20*Допущения!$C$24,0)+IF(12-7=Допущения!$C$31,(1-Допущения!$B$36)*J20*Допущения!$C$24,0)+IF(12-8=Допущения!$C$31,(1-Допущения!$B$36)*K20*Допущения!$C$24,0)+IF(12-9=Допущения!$C$31,(1-Допущения!$B$36)*L20*Допущения!$C$24,0)+IF(12-10=Допущения!$C$31,(1-Допущения!$B$36)*M20*Допущения!$C$24,0)+IF(12-11=Допущения!$C$31,(1-Допущения!$B$36)*N20*Допущения!$C$24,0)</f>
        <v>0</v>
      </c>
      <c r="P27" s="28" t="n">
        <f aca="false">SUM(C27:O27)</f>
        <v>4280000</v>
      </c>
    </row>
    <row r="28" customFormat="false" ht="15" hidden="false" customHeight="false" outlineLevel="0" collapsed="false">
      <c r="A28" s="5" t="s">
        <v>128</v>
      </c>
      <c r="B28" s="15" t="s">
        <v>126</v>
      </c>
      <c r="C28" s="30" t="n">
        <f aca="false">C26*(Допущения!$C$27+Допущения!$C$30)+C24*Допущения!$C$29</f>
        <v>0</v>
      </c>
      <c r="D28" s="30" t="n">
        <f aca="false">D26*(Допущения!$C$27+Допущения!$C$30)+D24*Допущения!$C$29</f>
        <v>0</v>
      </c>
      <c r="E28" s="30" t="n">
        <f aca="false">E26*(Допущения!$C$27+Допущения!$C$30)+E24*Допущения!$C$29</f>
        <v>303756.96</v>
      </c>
      <c r="F28" s="30" t="n">
        <f aca="false">F26*(Допущения!$C$27+Допущения!$C$30)+F24*Допущения!$C$29</f>
        <v>198610.32</v>
      </c>
      <c r="G28" s="30" t="n">
        <f aca="false">G26*(Допущения!$C$27+Допущения!$C$30)+G24*Допущения!$C$29</f>
        <v>198610.32</v>
      </c>
      <c r="H28" s="30" t="n">
        <f aca="false">H26*(Допущения!$C$27+Допущения!$C$30)+H24*Допущения!$C$29</f>
        <v>233659.2</v>
      </c>
      <c r="I28" s="30" t="n">
        <f aca="false">I26*(Допущения!$C$27+Допущения!$C$30)+I24*Допущения!$C$29</f>
        <v>210293.28</v>
      </c>
      <c r="J28" s="30" t="n">
        <f aca="false">J26*(Допущения!$C$27+Допущения!$C$30)+J24*Допущения!$C$29</f>
        <v>221976.24</v>
      </c>
      <c r="K28" s="30" t="n">
        <f aca="false">K26*(Допущения!$C$27+Допущения!$C$30)+K24*Допущения!$C$29</f>
        <v>210293.28</v>
      </c>
      <c r="L28" s="30" t="n">
        <f aca="false">L26*(Допущения!$C$27+Допущения!$C$30)+L24*Допущения!$C$29</f>
        <v>210293.28</v>
      </c>
      <c r="M28" s="30" t="n">
        <f aca="false">M26*(Допущения!$C$27+Допущения!$C$30)+M24*Допущения!$C$29</f>
        <v>233659.2</v>
      </c>
      <c r="N28" s="30" t="n">
        <f aca="false">N26*(Допущения!$C$27+Допущения!$C$30)+N24*Допущения!$C$29</f>
        <v>233659.2</v>
      </c>
      <c r="O28" s="30" t="n">
        <f aca="false">O26*(Допущения!$C$27+Допущения!$C$30)+O24*Допущения!$C$29</f>
        <v>233659.2</v>
      </c>
      <c r="P28" s="28" t="n">
        <f aca="false">SUM(C28:O28)</f>
        <v>2488470.48</v>
      </c>
    </row>
    <row r="29" customFormat="false" ht="15" hidden="false" customHeight="false" outlineLevel="0" collapsed="false">
      <c r="A29" s="20" t="s">
        <v>129</v>
      </c>
      <c r="B29" s="15" t="s">
        <v>126</v>
      </c>
      <c r="C29" s="31" t="n">
        <f aca="false">C26-C24*Допущения!$C$24-C28</f>
        <v>0</v>
      </c>
      <c r="D29" s="31" t="n">
        <f aca="false">D26-D24*Допущения!$C$24-D28</f>
        <v>0</v>
      </c>
      <c r="E29" s="31" t="n">
        <f aca="false">E26-E24*Допущения!$C$24-E28</f>
        <v>650963.04</v>
      </c>
      <c r="F29" s="31" t="n">
        <f aca="false">F26-F24*Допущения!$C$24-F28</f>
        <v>425629.68</v>
      </c>
      <c r="G29" s="31" t="n">
        <f aca="false">G26-G24*Допущения!$C$24-G28</f>
        <v>425629.68</v>
      </c>
      <c r="H29" s="31" t="n">
        <f aca="false">H26-H24*Допущения!$C$24-H28</f>
        <v>500740.8</v>
      </c>
      <c r="I29" s="31" t="n">
        <f aca="false">I26-I24*Допущения!$C$24-I28</f>
        <v>450666.72</v>
      </c>
      <c r="J29" s="31" t="n">
        <f aca="false">J26-J24*Допущения!$C$24-J28</f>
        <v>475703.76</v>
      </c>
      <c r="K29" s="31" t="n">
        <f aca="false">K26-K24*Допущения!$C$24-K28</f>
        <v>450666.72</v>
      </c>
      <c r="L29" s="31" t="n">
        <f aca="false">L26-L24*Допущения!$C$24-L28</f>
        <v>450666.72</v>
      </c>
      <c r="M29" s="31" t="n">
        <f aca="false">M26-M24*Допущения!$C$24-M28</f>
        <v>500740.8</v>
      </c>
      <c r="N29" s="31" t="n">
        <f aca="false">N26-N24*Допущения!$C$24-N28</f>
        <v>500740.8</v>
      </c>
      <c r="O29" s="31" t="n">
        <f aca="false">O26-O24*Допущения!$C$24-O28</f>
        <v>500740.8</v>
      </c>
      <c r="P29" s="28" t="n">
        <f aca="false">SUM(C29:O29)</f>
        <v>5332889.52</v>
      </c>
    </row>
    <row r="30" customFormat="false" ht="15" hidden="false" customHeight="false" outlineLevel="0" collapsed="false">
      <c r="A30" s="3" t="s">
        <v>66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customFormat="false" ht="15" hidden="false" customHeight="false" outlineLevel="0" collapsed="false">
      <c r="A31" s="5" t="s">
        <v>119</v>
      </c>
      <c r="B31" s="15" t="s">
        <v>118</v>
      </c>
      <c r="C31" s="29" t="n">
        <v>150</v>
      </c>
      <c r="D31" s="29" t="n">
        <v>70</v>
      </c>
      <c r="E31" s="29" t="n">
        <v>100</v>
      </c>
      <c r="F31" s="29" t="n">
        <v>85</v>
      </c>
      <c r="G31" s="29" t="n">
        <v>100</v>
      </c>
      <c r="H31" s="29" t="n">
        <v>90</v>
      </c>
      <c r="I31" s="29" t="n">
        <v>95</v>
      </c>
      <c r="J31" s="29" t="n">
        <v>90</v>
      </c>
      <c r="K31" s="29" t="n">
        <v>90</v>
      </c>
      <c r="L31" s="29" t="n">
        <v>100</v>
      </c>
      <c r="M31" s="29" t="n">
        <v>100</v>
      </c>
      <c r="N31" s="29" t="n">
        <v>0</v>
      </c>
      <c r="O31" s="29" t="n">
        <v>0</v>
      </c>
      <c r="P31" s="28" t="n">
        <f aca="false">SUM(C31:O31)</f>
        <v>1070</v>
      </c>
    </row>
    <row r="32" customFormat="false" ht="15" hidden="false" customHeight="false" outlineLevel="0" collapsed="false">
      <c r="A32" s="5" t="s">
        <v>120</v>
      </c>
      <c r="B32" s="15" t="s">
        <v>118</v>
      </c>
      <c r="C32" s="30" t="n">
        <f aca="false">0</f>
        <v>0</v>
      </c>
      <c r="D32" s="30" t="n">
        <f aca="false">IF(1-0=Допущения!$D$32,C31,0)</f>
        <v>0</v>
      </c>
      <c r="E32" s="30" t="n">
        <f aca="false">IF(2-0=Допущения!$D$32,C31,0)+IF(2-1=Допущения!$D$32,D31,0)</f>
        <v>150</v>
      </c>
      <c r="F32" s="30" t="n">
        <f aca="false">IF(3-0=Допущения!$D$32,C31,0)+IF(3-1=Допущения!$D$32,D31,0)+IF(3-2=Допущения!$D$32,E31,0)</f>
        <v>70</v>
      </c>
      <c r="G32" s="30" t="n">
        <f aca="false">IF(4-0=Допущения!$D$32,C31,0)+IF(4-1=Допущения!$D$32,D31,0)+IF(4-2=Допущения!$D$32,E31,0)+IF(4-3=Допущения!$D$32,F31,0)</f>
        <v>100</v>
      </c>
      <c r="H32" s="30" t="n">
        <f aca="false">IF(5-0=Допущения!$D$32,C31,0)+IF(5-1=Допущения!$D$32,D31,0)+IF(5-2=Допущения!$D$32,E31,0)+IF(5-3=Допущения!$D$32,F31,0)+IF(5-4=Допущения!$D$32,G31,0)</f>
        <v>85</v>
      </c>
      <c r="I32" s="30" t="n">
        <f aca="false">IF(6-0=Допущения!$D$32,C31,0)+IF(6-1=Допущения!$D$32,D31,0)+IF(6-2=Допущения!$D$32,E31,0)+IF(6-3=Допущения!$D$32,F31,0)+IF(6-4=Допущения!$D$32,G31,0)+IF(6-5=Допущения!$D$32,H31,0)</f>
        <v>100</v>
      </c>
      <c r="J32" s="30" t="n">
        <f aca="false">IF(7-0=Допущения!$D$32,C31,0)+IF(7-1=Допущения!$D$32,D31,0)+IF(7-2=Допущения!$D$32,E31,0)+IF(7-3=Допущения!$D$32,F31,0)+IF(7-4=Допущения!$D$32,G31,0)+IF(7-5=Допущения!$D$32,H31,0)+IF(7-6=Допущения!$D$32,I31,0)</f>
        <v>90</v>
      </c>
      <c r="K32" s="30" t="n">
        <f aca="false">IF(8-0=Допущения!$D$32,C31,0)+IF(8-1=Допущения!$D$32,D31,0)+IF(8-2=Допущения!$D$32,E31,0)+IF(8-3=Допущения!$D$32,F31,0)+IF(8-4=Допущения!$D$32,G31,0)+IF(8-5=Допущения!$D$32,H31,0)+IF(8-6=Допущения!$D$32,I31,0)+IF(8-7=Допущения!$D$32,J31,0)</f>
        <v>95</v>
      </c>
      <c r="L32" s="30" t="n">
        <f aca="false">IF(9-0=Допущения!$D$32,C31,0)+IF(9-1=Допущения!$D$32,D31,0)+IF(9-2=Допущения!$D$32,E31,0)+IF(9-3=Допущения!$D$32,F31,0)+IF(9-4=Допущения!$D$32,G31,0)+IF(9-5=Допущения!$D$32,H31,0)+IF(9-6=Допущения!$D$32,I31,0)+IF(9-7=Допущения!$D$32,J31,0)+IF(9-8=Допущения!$D$32,K31,0)</f>
        <v>90</v>
      </c>
      <c r="M32" s="30" t="n">
        <f aca="false">IF(10-0=Допущения!$D$32,C31,0)+IF(10-1=Допущения!$D$32,D31,0)+IF(10-2=Допущения!$D$32,E31,0)+IF(10-3=Допущения!$D$32,F31,0)+IF(10-4=Допущения!$D$32,G31,0)+IF(10-5=Допущения!$D$32,H31,0)+IF(10-6=Допущения!$D$32,I31,0)+IF(10-7=Допущения!$D$32,J31,0)+IF(10-8=Допущения!$D$32,K31,0)+IF(10-9=Допущения!$D$32,L31,0)</f>
        <v>90</v>
      </c>
      <c r="N32" s="30" t="n">
        <f aca="false">IF(11-0=Допущения!$D$32,C31,0)+IF(11-1=Допущения!$D$32,D31,0)+IF(11-2=Допущения!$D$32,E31,0)+IF(11-3=Допущения!$D$32,F31,0)+IF(11-4=Допущения!$D$32,G31,0)+IF(11-5=Допущения!$D$32,H31,0)+IF(11-6=Допущения!$D$32,I31,0)+IF(11-7=Допущения!$D$32,J31,0)+IF(11-8=Допущения!$D$32,K31,0)+IF(11-9=Допущения!$D$32,L31,0)+IF(11-10=Допущения!$D$32,M31,0)</f>
        <v>100</v>
      </c>
      <c r="O32" s="30" t="n">
        <f aca="false">IF(12-0=Допущения!$D$32,C31,0)+IF(12-1=Допущения!$D$32,D31,0)+IF(12-2=Допущения!$D$32,E31,0)+IF(12-3=Допущения!$D$32,F31,0)+IF(12-4=Допущения!$D$32,G31,0)+IF(12-5=Допущения!$D$32,H31,0)+IF(12-6=Допущения!$D$32,I31,0)+IF(12-7=Допущения!$D$32,J31,0)+IF(12-8=Допущения!$D$32,K31,0)+IF(12-9=Допущения!$D$32,L31,0)+IF(12-10=Допущения!$D$32,M31,0)+IF(12-11=Допущения!$D$32,N31,0)</f>
        <v>100</v>
      </c>
      <c r="P32" s="28" t="n">
        <f aca="false">SUM(C32:O32)</f>
        <v>1070</v>
      </c>
    </row>
    <row r="33" customFormat="false" ht="15" hidden="false" customHeight="false" outlineLevel="0" collapsed="false">
      <c r="A33" s="5" t="s">
        <v>121</v>
      </c>
      <c r="B33" s="15" t="s">
        <v>118</v>
      </c>
      <c r="C33" s="30" t="n">
        <v>0</v>
      </c>
      <c r="D33" s="30" t="n">
        <f aca="false">C36</f>
        <v>0</v>
      </c>
      <c r="E33" s="30" t="n">
        <f aca="false">D36</f>
        <v>0</v>
      </c>
      <c r="F33" s="30" t="n">
        <f aca="false">E36</f>
        <v>20</v>
      </c>
      <c r="G33" s="30" t="n">
        <f aca="false">F36</f>
        <v>5</v>
      </c>
      <c r="H33" s="30" t="n">
        <f aca="false">G36</f>
        <v>20</v>
      </c>
      <c r="I33" s="30" t="n">
        <f aca="false">H36</f>
        <v>5</v>
      </c>
      <c r="J33" s="30" t="n">
        <f aca="false">I36</f>
        <v>15</v>
      </c>
      <c r="K33" s="30" t="n">
        <f aca="false">J36</f>
        <v>10</v>
      </c>
      <c r="L33" s="30" t="n">
        <f aca="false">K36</f>
        <v>15</v>
      </c>
      <c r="M33" s="30" t="n">
        <f aca="false">L36</f>
        <v>15</v>
      </c>
      <c r="N33" s="30" t="n">
        <f aca="false">M36</f>
        <v>5</v>
      </c>
      <c r="O33" s="30" t="n">
        <f aca="false">N36</f>
        <v>5</v>
      </c>
    </row>
    <row r="34" customFormat="false" ht="15" hidden="false" customHeight="false" outlineLevel="0" collapsed="false">
      <c r="A34" s="5" t="s">
        <v>122</v>
      </c>
      <c r="B34" s="15" t="s">
        <v>118</v>
      </c>
      <c r="C34" s="30" t="n">
        <v>0</v>
      </c>
      <c r="D34" s="30" t="n">
        <f aca="false">ROUND(Допущения!$D$26*D$6*Допущения!$B$20,0)</f>
        <v>115</v>
      </c>
      <c r="E34" s="30" t="n">
        <f aca="false">ROUND(Допущения!$D$26*E$6*Допущения!$B$20,0)</f>
        <v>130</v>
      </c>
      <c r="F34" s="30" t="n">
        <f aca="false">ROUND(Допущения!$D$26*F$6*Допущения!$B$20,0)</f>
        <v>85</v>
      </c>
      <c r="G34" s="30" t="n">
        <f aca="false">ROUND(Допущения!$D$26*G$6*Допущения!$B$20,0)</f>
        <v>85</v>
      </c>
      <c r="H34" s="30" t="n">
        <f aca="false">ROUND(Допущения!$D$26*H$6*Допущения!$B$20,0)</f>
        <v>100</v>
      </c>
      <c r="I34" s="30" t="n">
        <f aca="false">ROUND(Допущения!$D$26*I$6*Допущения!$B$20,0)</f>
        <v>90</v>
      </c>
      <c r="J34" s="30" t="n">
        <f aca="false">ROUND(Допущения!$D$26*J$6*Допущения!$B$20,0)</f>
        <v>95</v>
      </c>
      <c r="K34" s="30" t="n">
        <f aca="false">ROUND(Допущения!$D$26*K$6*Допущения!$B$20,0)</f>
        <v>90</v>
      </c>
      <c r="L34" s="30" t="n">
        <f aca="false">ROUND(Допущения!$D$26*L$6*Допущения!$B$20,0)</f>
        <v>90</v>
      </c>
      <c r="M34" s="30" t="n">
        <f aca="false">ROUND(Допущения!$D$26*M$6*Допущения!$B$20,0)</f>
        <v>100</v>
      </c>
      <c r="N34" s="30" t="n">
        <f aca="false">ROUND(Допущения!$D$26*N$6*Допущения!$B$20,0)</f>
        <v>100</v>
      </c>
      <c r="O34" s="30" t="n">
        <f aca="false">ROUND(Допущения!$D$26*O$6*Допущения!$B$20,0)</f>
        <v>100</v>
      </c>
      <c r="P34" s="28" t="n">
        <f aca="false">SUM(C34:O34)</f>
        <v>1180</v>
      </c>
    </row>
    <row r="35" customFormat="false" ht="15" hidden="false" customHeight="false" outlineLevel="0" collapsed="false">
      <c r="A35" s="20" t="s">
        <v>123</v>
      </c>
      <c r="B35" s="15" t="s">
        <v>118</v>
      </c>
      <c r="C35" s="31" t="n">
        <f aca="false">MIN(C34,C33+C32)</f>
        <v>0</v>
      </c>
      <c r="D35" s="31" t="n">
        <f aca="false">MIN(D34,D33+D32)</f>
        <v>0</v>
      </c>
      <c r="E35" s="31" t="n">
        <f aca="false">MIN(E34,E33+E32)</f>
        <v>130</v>
      </c>
      <c r="F35" s="31" t="n">
        <f aca="false">MIN(F34,F33+F32)</f>
        <v>85</v>
      </c>
      <c r="G35" s="31" t="n">
        <f aca="false">MIN(G34,G33+G32)</f>
        <v>85</v>
      </c>
      <c r="H35" s="31" t="n">
        <f aca="false">MIN(H34,H33+H32)</f>
        <v>100</v>
      </c>
      <c r="I35" s="31" t="n">
        <f aca="false">MIN(I34,I33+I32)</f>
        <v>90</v>
      </c>
      <c r="J35" s="31" t="n">
        <f aca="false">MIN(J34,J33+J32)</f>
        <v>95</v>
      </c>
      <c r="K35" s="31" t="n">
        <f aca="false">MIN(K34,K33+K32)</f>
        <v>90</v>
      </c>
      <c r="L35" s="31" t="n">
        <f aca="false">MIN(L34,L33+L32)</f>
        <v>90</v>
      </c>
      <c r="M35" s="31" t="n">
        <f aca="false">MIN(M34,M33+M32)</f>
        <v>100</v>
      </c>
      <c r="N35" s="31" t="n">
        <f aca="false">MIN(N34,N33+N32)</f>
        <v>100</v>
      </c>
      <c r="O35" s="31" t="n">
        <f aca="false">MIN(O34,O33+O32)</f>
        <v>100</v>
      </c>
      <c r="P35" s="28" t="n">
        <f aca="false">SUM(C35:O35)</f>
        <v>1065</v>
      </c>
    </row>
    <row r="36" customFormat="false" ht="15" hidden="false" customHeight="false" outlineLevel="0" collapsed="false">
      <c r="A36" s="5" t="s">
        <v>124</v>
      </c>
      <c r="B36" s="15" t="s">
        <v>118</v>
      </c>
      <c r="C36" s="30" t="n">
        <f aca="false">C33+C32-C35</f>
        <v>0</v>
      </c>
      <c r="D36" s="30" t="n">
        <f aca="false">D33+D32-D35</f>
        <v>0</v>
      </c>
      <c r="E36" s="30" t="n">
        <f aca="false">E33+E32-E35</f>
        <v>20</v>
      </c>
      <c r="F36" s="30" t="n">
        <f aca="false">F33+F32-F35</f>
        <v>5</v>
      </c>
      <c r="G36" s="30" t="n">
        <f aca="false">G33+G32-G35</f>
        <v>20</v>
      </c>
      <c r="H36" s="30" t="n">
        <f aca="false">H33+H32-H35</f>
        <v>5</v>
      </c>
      <c r="I36" s="30" t="n">
        <f aca="false">I33+I32-I35</f>
        <v>15</v>
      </c>
      <c r="J36" s="30" t="n">
        <f aca="false">J33+J32-J35</f>
        <v>10</v>
      </c>
      <c r="K36" s="30" t="n">
        <f aca="false">K33+K32-K35</f>
        <v>15</v>
      </c>
      <c r="L36" s="30" t="n">
        <f aca="false">L33+L32-L35</f>
        <v>15</v>
      </c>
      <c r="M36" s="30" t="n">
        <f aca="false">M33+M32-M35</f>
        <v>5</v>
      </c>
      <c r="N36" s="30" t="n">
        <f aca="false">N33+N32-N35</f>
        <v>5</v>
      </c>
      <c r="O36" s="30" t="n">
        <f aca="false">O33+O32-O35</f>
        <v>5</v>
      </c>
    </row>
    <row r="37" customFormat="false" ht="15" hidden="false" customHeight="false" outlineLevel="0" collapsed="false">
      <c r="A37" s="5" t="s">
        <v>125</v>
      </c>
      <c r="B37" s="15" t="s">
        <v>126</v>
      </c>
      <c r="C37" s="30" t="n">
        <f aca="false">C35*Допущения!$D$25</f>
        <v>0</v>
      </c>
      <c r="D37" s="30" t="n">
        <f aca="false">D35*Допущения!$D$25</f>
        <v>0</v>
      </c>
      <c r="E37" s="30" t="n">
        <f aca="false">E35*Допущения!$D$25</f>
        <v>1895140</v>
      </c>
      <c r="F37" s="30" t="n">
        <f aca="false">F35*Допущения!$D$25</f>
        <v>1239130</v>
      </c>
      <c r="G37" s="30" t="n">
        <f aca="false">G35*Допущения!$D$25</f>
        <v>1239130</v>
      </c>
      <c r="H37" s="30" t="n">
        <f aca="false">H35*Допущения!$D$25</f>
        <v>1457800</v>
      </c>
      <c r="I37" s="30" t="n">
        <f aca="false">I35*Допущения!$D$25</f>
        <v>1312020</v>
      </c>
      <c r="J37" s="30" t="n">
        <f aca="false">J35*Допущения!$D$25</f>
        <v>1384910</v>
      </c>
      <c r="K37" s="30" t="n">
        <f aca="false">K35*Допущения!$D$25</f>
        <v>1312020</v>
      </c>
      <c r="L37" s="30" t="n">
        <f aca="false">L35*Допущения!$D$25</f>
        <v>1312020</v>
      </c>
      <c r="M37" s="30" t="n">
        <f aca="false">M35*Допущения!$D$25</f>
        <v>1457800</v>
      </c>
      <c r="N37" s="30" t="n">
        <f aca="false">N35*Допущения!$D$25</f>
        <v>1457800</v>
      </c>
      <c r="O37" s="30" t="n">
        <f aca="false">O35*Допущения!$D$25</f>
        <v>1457800</v>
      </c>
      <c r="P37" s="28" t="n">
        <f aca="false">SUM(C37:O37)</f>
        <v>15525570</v>
      </c>
    </row>
    <row r="38" customFormat="false" ht="15" hidden="false" customHeight="false" outlineLevel="0" collapsed="false">
      <c r="A38" s="5" t="s">
        <v>127</v>
      </c>
      <c r="B38" s="15" t="s">
        <v>126</v>
      </c>
      <c r="C38" s="30" t="n">
        <f aca="false">Допущения!$B$36*C31*Допущения!$D$24</f>
        <v>225000</v>
      </c>
      <c r="D38" s="30" t="n">
        <f aca="false">Допущения!$B$36*D31*Допущения!$D$24+IF(1-0=Допущения!$D$31,(1-Допущения!$B$36)*C31*Допущения!$D$24,0)</f>
        <v>630000</v>
      </c>
      <c r="E38" s="30" t="n">
        <f aca="false">Допущения!$B$36*E31*Допущения!$D$24+IF(2-0=Допущения!$D$31,(1-Допущения!$B$36)*C31*Допущения!$D$24,0)+IF(2-1=Допущения!$D$31,(1-Допущения!$B$36)*D31*Допущения!$D$24,0)</f>
        <v>395000</v>
      </c>
      <c r="F38" s="30" t="n">
        <f aca="false">Допущения!$B$36*F31*Допущения!$D$24+IF(3-0=Допущения!$D$31,(1-Допущения!$B$36)*C31*Допущения!$D$24,0)+IF(3-1=Допущения!$D$31,(1-Допущения!$B$36)*D31*Допущения!$D$24,0)+IF(3-2=Допущения!$D$31,(1-Допущения!$B$36)*E31*Допущения!$D$24,0)</f>
        <v>477500</v>
      </c>
      <c r="G38" s="30" t="n">
        <f aca="false">Допущения!$B$36*G31*Допущения!$D$24+IF(4-0=Допущения!$D$31,(1-Допущения!$B$36)*C31*Допущения!$D$24,0)+IF(4-1=Допущения!$D$31,(1-Допущения!$B$36)*D31*Допущения!$D$24,0)+IF(4-2=Допущения!$D$31,(1-Допущения!$B$36)*E31*Допущения!$D$24,0)+IF(4-3=Допущения!$D$31,(1-Допущения!$B$36)*F31*Допущения!$D$24,0)</f>
        <v>447500</v>
      </c>
      <c r="H38" s="30" t="n">
        <f aca="false">Допущения!$B$36*H31*Допущения!$D$24+IF(5-0=Допущения!$D$31,(1-Допущения!$B$36)*C31*Допущения!$D$24,0)+IF(5-1=Допущения!$D$31,(1-Допущения!$B$36)*D31*Допущения!$D$24,0)+IF(5-2=Допущения!$D$31,(1-Допущения!$B$36)*E31*Допущения!$D$24,0)+IF(5-3=Допущения!$D$31,(1-Допущения!$B$36)*F31*Допущения!$D$24,0)+IF(5-4=Допущения!$D$31,(1-Допущения!$B$36)*G31*Допущения!$D$24,0)</f>
        <v>485000</v>
      </c>
      <c r="I38" s="30" t="n">
        <f aca="false">Допущения!$B$36*I31*Допущения!$D$24+IF(6-0=Допущения!$D$31,(1-Допущения!$B$36)*C31*Допущения!$D$24,0)+IF(6-1=Допущения!$D$31,(1-Допущения!$B$36)*D31*Допущения!$D$24,0)+IF(6-2=Допущения!$D$31,(1-Допущения!$B$36)*E31*Допущения!$D$24,0)+IF(6-3=Допущения!$D$31,(1-Допущения!$B$36)*F31*Допущения!$D$24,0)+IF(6-4=Допущения!$D$31,(1-Допущения!$B$36)*G31*Допущения!$D$24,0)+IF(6-5=Допущения!$D$31,(1-Допущения!$B$36)*H31*Допущения!$D$24,0)</f>
        <v>457500</v>
      </c>
      <c r="J38" s="30" t="n">
        <f aca="false">Допущения!$B$36*J31*Допущения!$D$24+IF(7-0=Допущения!$D$31,(1-Допущения!$B$36)*C31*Допущения!$D$24,0)+IF(7-1=Допущения!$D$31,(1-Допущения!$B$36)*D31*Допущения!$D$24,0)+IF(7-2=Допущения!$D$31,(1-Допущения!$B$36)*E31*Допущения!$D$24,0)+IF(7-3=Допущения!$D$31,(1-Допущения!$B$36)*F31*Допущения!$D$24,0)+IF(7-4=Допущения!$D$31,(1-Допущения!$B$36)*G31*Допущения!$D$24,0)+IF(7-5=Допущения!$D$31,(1-Допущения!$B$36)*H31*Допущения!$D$24,0)+IF(7-6=Допущения!$D$31,(1-Допущения!$B$36)*I31*Допущения!$D$24,0)</f>
        <v>467500</v>
      </c>
      <c r="K38" s="30" t="n">
        <f aca="false">Допущения!$B$36*K31*Допущения!$D$24+IF(8-0=Допущения!$D$31,(1-Допущения!$B$36)*C31*Допущения!$D$24,0)+IF(8-1=Допущения!$D$31,(1-Допущения!$B$36)*D31*Допущения!$D$24,0)+IF(8-2=Допущения!$D$31,(1-Допущения!$B$36)*E31*Допущения!$D$24,0)+IF(8-3=Допущения!$D$31,(1-Допущения!$B$36)*F31*Допущения!$D$24,0)+IF(8-4=Допущения!$D$31,(1-Допущения!$B$36)*G31*Допущения!$D$24,0)+IF(8-5=Допущения!$D$31,(1-Допущения!$B$36)*H31*Допущения!$D$24,0)+IF(8-6=Допущения!$D$31,(1-Допущения!$B$36)*I31*Допущения!$D$24,0)+IF(8-7=Допущения!$D$31,(1-Допущения!$B$36)*J31*Допущения!$D$24,0)</f>
        <v>450000</v>
      </c>
      <c r="L38" s="30" t="n">
        <f aca="false">Допущения!$B$36*L31*Допущения!$D$24+IF(9-0=Допущения!$D$31,(1-Допущения!$B$36)*C31*Допущения!$D$24,0)+IF(9-1=Допущения!$D$31,(1-Допущения!$B$36)*D31*Допущения!$D$24,0)+IF(9-2=Допущения!$D$31,(1-Допущения!$B$36)*E31*Допущения!$D$24,0)+IF(9-3=Допущения!$D$31,(1-Допущения!$B$36)*F31*Допущения!$D$24,0)+IF(9-4=Допущения!$D$31,(1-Допущения!$B$36)*G31*Допущения!$D$24,0)+IF(9-5=Допущения!$D$31,(1-Допущения!$B$36)*H31*Допущения!$D$24,0)+IF(9-6=Допущения!$D$31,(1-Допущения!$B$36)*I31*Допущения!$D$24,0)+IF(9-7=Допущения!$D$31,(1-Допущения!$B$36)*J31*Допущения!$D$24,0)+IF(9-8=Допущения!$D$31,(1-Допущения!$B$36)*K31*Допущения!$D$24,0)</f>
        <v>465000</v>
      </c>
      <c r="M38" s="30" t="n">
        <f aca="false">Допущения!$B$36*M31*Допущения!$D$24+IF(10-0=Допущения!$D$31,(1-Допущения!$B$36)*C31*Допущения!$D$24,0)+IF(10-1=Допущения!$D$31,(1-Допущения!$B$36)*D31*Допущения!$D$24,0)+IF(10-2=Допущения!$D$31,(1-Допущения!$B$36)*E31*Допущения!$D$24,0)+IF(10-3=Допущения!$D$31,(1-Допущения!$B$36)*F31*Допущения!$D$24,0)+IF(10-4=Допущения!$D$31,(1-Допущения!$B$36)*G31*Допущения!$D$24,0)+IF(10-5=Допущения!$D$31,(1-Допущения!$B$36)*H31*Допущения!$D$24,0)+IF(10-6=Допущения!$D$31,(1-Допущения!$B$36)*I31*Допущения!$D$24,0)+IF(10-7=Допущения!$D$31,(1-Допущения!$B$36)*J31*Допущения!$D$24,0)+IF(10-8=Допущения!$D$31,(1-Допущения!$B$36)*K31*Допущения!$D$24,0)+IF(10-9=Допущения!$D$31,(1-Допущения!$B$36)*L31*Допущения!$D$24,0)</f>
        <v>500000</v>
      </c>
      <c r="N38" s="30" t="n">
        <f aca="false">Допущения!$B$36*N31*Допущения!$D$24+IF(11-0=Допущения!$D$31,(1-Допущения!$B$36)*C31*Допущения!$D$24,0)+IF(11-1=Допущения!$D$31,(1-Допущения!$B$36)*D31*Допущения!$D$24,0)+IF(11-2=Допущения!$D$31,(1-Допущения!$B$36)*E31*Допущения!$D$24,0)+IF(11-3=Допущения!$D$31,(1-Допущения!$B$36)*F31*Допущения!$D$24,0)+IF(11-4=Допущения!$D$31,(1-Допущения!$B$36)*G31*Допущения!$D$24,0)+IF(11-5=Допущения!$D$31,(1-Допущения!$B$36)*H31*Допущения!$D$24,0)+IF(11-6=Допущения!$D$31,(1-Допущения!$B$36)*I31*Допущения!$D$24,0)+IF(11-7=Допущения!$D$31,(1-Допущения!$B$36)*J31*Допущения!$D$24,0)+IF(11-8=Допущения!$D$31,(1-Допущения!$B$36)*K31*Допущения!$D$24,0)+IF(11-9=Допущения!$D$31,(1-Допущения!$B$36)*L31*Допущения!$D$24,0)+IF(11-10=Допущения!$D$31,(1-Допущения!$B$36)*M31*Допущения!$D$24,0)</f>
        <v>350000</v>
      </c>
      <c r="O38" s="30" t="n">
        <f aca="false">Допущения!$B$36*O31*Допущения!$D$24+IF(12-0=Допущения!$D$31,(1-Допущения!$B$36)*C31*Допущения!$D$24,0)+IF(12-1=Допущения!$D$31,(1-Допущения!$B$36)*D31*Допущения!$D$24,0)+IF(12-2=Допущения!$D$31,(1-Допущения!$B$36)*E31*Допущения!$D$24,0)+IF(12-3=Допущения!$D$31,(1-Допущения!$B$36)*F31*Допущения!$D$24,0)+IF(12-4=Допущения!$D$31,(1-Допущения!$B$36)*G31*Допущения!$D$24,0)+IF(12-5=Допущения!$D$31,(1-Допущения!$B$36)*H31*Допущения!$D$24,0)+IF(12-6=Допущения!$D$31,(1-Допущения!$B$36)*I31*Допущения!$D$24,0)+IF(12-7=Допущения!$D$31,(1-Допущения!$B$36)*J31*Допущения!$D$24,0)+IF(12-8=Допущения!$D$31,(1-Допущения!$B$36)*K31*Допущения!$D$24,0)+IF(12-9=Допущения!$D$31,(1-Допущения!$B$36)*L31*Допущения!$D$24,0)+IF(12-10=Допущения!$D$31,(1-Допущения!$B$36)*M31*Допущения!$D$24,0)+IF(12-11=Допущения!$D$31,(1-Допущения!$B$36)*N31*Допущения!$D$24,0)</f>
        <v>0</v>
      </c>
      <c r="P38" s="28" t="n">
        <f aca="false">SUM(C38:O38)</f>
        <v>5350000</v>
      </c>
    </row>
    <row r="39" customFormat="false" ht="15" hidden="false" customHeight="false" outlineLevel="0" collapsed="false">
      <c r="A39" s="5" t="s">
        <v>128</v>
      </c>
      <c r="B39" s="15" t="s">
        <v>126</v>
      </c>
      <c r="C39" s="30" t="n">
        <f aca="false">C37*(Допущения!$D$27+Допущения!$D$30)+C35*Допущения!$D$29</f>
        <v>0</v>
      </c>
      <c r="D39" s="30" t="n">
        <f aca="false">D37*(Допущения!$D$27+Допущения!$D$30)+D35*Допущения!$D$29</f>
        <v>0</v>
      </c>
      <c r="E39" s="30" t="n">
        <f aca="false">E37*(Допущения!$D$27+Допущения!$D$30)+E35*Допущения!$D$29</f>
        <v>402636.52</v>
      </c>
      <c r="F39" s="30" t="n">
        <f aca="false">F37*(Допущения!$D$27+Допущения!$D$30)+F35*Допущения!$D$29</f>
        <v>263262.34</v>
      </c>
      <c r="G39" s="30" t="n">
        <f aca="false">G37*(Допущения!$D$27+Допущения!$D$30)+G35*Допущения!$D$29</f>
        <v>263262.34</v>
      </c>
      <c r="H39" s="30" t="n">
        <f aca="false">H37*(Допущения!$D$27+Допущения!$D$30)+H35*Допущения!$D$29</f>
        <v>309720.4</v>
      </c>
      <c r="I39" s="30" t="n">
        <f aca="false">I37*(Допущения!$D$27+Допущения!$D$30)+I35*Допущения!$D$29</f>
        <v>278748.36</v>
      </c>
      <c r="J39" s="30" t="n">
        <f aca="false">J37*(Допущения!$D$27+Допущения!$D$30)+J35*Допущения!$D$29</f>
        <v>294234.38</v>
      </c>
      <c r="K39" s="30" t="n">
        <f aca="false">K37*(Допущения!$D$27+Допущения!$D$30)+K35*Допущения!$D$29</f>
        <v>278748.36</v>
      </c>
      <c r="L39" s="30" t="n">
        <f aca="false">L37*(Допущения!$D$27+Допущения!$D$30)+L35*Допущения!$D$29</f>
        <v>278748.36</v>
      </c>
      <c r="M39" s="30" t="n">
        <f aca="false">M37*(Допущения!$D$27+Допущения!$D$30)+M35*Допущения!$D$29</f>
        <v>309720.4</v>
      </c>
      <c r="N39" s="30" t="n">
        <f aca="false">N37*(Допущения!$D$27+Допущения!$D$30)+N35*Допущения!$D$29</f>
        <v>309720.4</v>
      </c>
      <c r="O39" s="30" t="n">
        <f aca="false">O37*(Допущения!$D$27+Допущения!$D$30)+O35*Допущения!$D$29</f>
        <v>309720.4</v>
      </c>
      <c r="P39" s="28" t="n">
        <f aca="false">SUM(C39:O39)</f>
        <v>3298522.26</v>
      </c>
    </row>
    <row r="40" customFormat="false" ht="15" hidden="false" customHeight="false" outlineLevel="0" collapsed="false">
      <c r="A40" s="20" t="s">
        <v>129</v>
      </c>
      <c r="B40" s="15" t="s">
        <v>126</v>
      </c>
      <c r="C40" s="31" t="n">
        <f aca="false">C37-C35*Допущения!$D$24-C39</f>
        <v>0</v>
      </c>
      <c r="D40" s="31" t="n">
        <f aca="false">D37-D35*Допущения!$D$24-D39</f>
        <v>0</v>
      </c>
      <c r="E40" s="31" t="n">
        <f aca="false">E37-E35*Допущения!$D$24-E39</f>
        <v>842503.48</v>
      </c>
      <c r="F40" s="31" t="n">
        <f aca="false">F37-F35*Допущения!$D$24-F39</f>
        <v>550867.66</v>
      </c>
      <c r="G40" s="31" t="n">
        <f aca="false">G37-G35*Допущения!$D$24-G39</f>
        <v>550867.66</v>
      </c>
      <c r="H40" s="31" t="n">
        <f aca="false">H37-H35*Допущения!$D$24-H39</f>
        <v>648079.6</v>
      </c>
      <c r="I40" s="31" t="n">
        <f aca="false">I37-I35*Допущения!$D$24-I39</f>
        <v>583271.64</v>
      </c>
      <c r="J40" s="31" t="n">
        <f aca="false">J37-J35*Допущения!$D$24-J39</f>
        <v>615675.62</v>
      </c>
      <c r="K40" s="31" t="n">
        <f aca="false">K37-K35*Допущения!$D$24-K39</f>
        <v>583271.64</v>
      </c>
      <c r="L40" s="31" t="n">
        <f aca="false">L37-L35*Допущения!$D$24-L39</f>
        <v>583271.64</v>
      </c>
      <c r="M40" s="31" t="n">
        <f aca="false">M37-M35*Допущения!$D$24-M39</f>
        <v>648079.6</v>
      </c>
      <c r="N40" s="31" t="n">
        <f aca="false">N37-N35*Допущения!$D$24-N39</f>
        <v>648079.6</v>
      </c>
      <c r="O40" s="31" t="n">
        <f aca="false">O37-O35*Допущения!$D$24-O39</f>
        <v>648079.6</v>
      </c>
      <c r="P40" s="28" t="n">
        <f aca="false">SUM(C40:O40)</f>
        <v>6902047.74</v>
      </c>
    </row>
    <row r="41" customFormat="false" ht="15" hidden="false" customHeight="false" outlineLevel="0" collapsed="false">
      <c r="A41" s="3" t="s">
        <v>130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customFormat="false" ht="15" hidden="false" customHeight="false" outlineLevel="0" collapsed="false">
      <c r="A42" s="20" t="s">
        <v>131</v>
      </c>
      <c r="B42" s="15" t="s">
        <v>126</v>
      </c>
      <c r="C42" s="31" t="n">
        <f aca="false">C15+C26+C37</f>
        <v>0</v>
      </c>
      <c r="D42" s="31" t="n">
        <f aca="false">D15+D26+D37</f>
        <v>6356298</v>
      </c>
      <c r="E42" s="31" t="n">
        <f aca="false">E15+E26+E37</f>
        <v>10618270</v>
      </c>
      <c r="F42" s="31" t="n">
        <f aca="false">F15+F26+F37</f>
        <v>6998472</v>
      </c>
      <c r="G42" s="31" t="n">
        <f aca="false">G15+G26+G37</f>
        <v>6106360</v>
      </c>
      <c r="H42" s="31" t="n">
        <f aca="false">H15+H26+H37</f>
        <v>8167900</v>
      </c>
      <c r="I42" s="31" t="n">
        <f aca="false">I15+I26+I37</f>
        <v>7351110</v>
      </c>
      <c r="J42" s="31" t="n">
        <f aca="false">J15+J26+J37</f>
        <v>7815262</v>
      </c>
      <c r="K42" s="31" t="n">
        <f aca="false">K15+K26+K37</f>
        <v>7351110</v>
      </c>
      <c r="L42" s="31" t="n">
        <f aca="false">L15+L26+L37</f>
        <v>7351110</v>
      </c>
      <c r="M42" s="31" t="n">
        <f aca="false">M15+M26+M37</f>
        <v>8167900</v>
      </c>
      <c r="N42" s="31" t="n">
        <f aca="false">N15+N26+N37</f>
        <v>8167900</v>
      </c>
      <c r="O42" s="31" t="n">
        <f aca="false">O15+O26+O37</f>
        <v>8167900</v>
      </c>
      <c r="P42" s="28" t="n">
        <f aca="false">SUM(C42:O42)</f>
        <v>92619592</v>
      </c>
    </row>
    <row r="43" customFormat="false" ht="15" hidden="false" customHeight="false" outlineLevel="0" collapsed="false">
      <c r="A43" s="5" t="s">
        <v>132</v>
      </c>
      <c r="B43" s="15" t="s">
        <v>126</v>
      </c>
      <c r="C43" s="30" t="n">
        <f aca="false">C16+C27+C38</f>
        <v>7905000</v>
      </c>
      <c r="D43" s="30" t="n">
        <f aca="false">D16+D27+D38</f>
        <v>1134000</v>
      </c>
      <c r="E43" s="30" t="n">
        <f aca="false">E16+E27+E38</f>
        <v>3711000</v>
      </c>
      <c r="F43" s="30" t="n">
        <f aca="false">F16+F27+F38</f>
        <v>859500</v>
      </c>
      <c r="G43" s="30" t="n">
        <f aca="false">G16+G27+G38</f>
        <v>7805500</v>
      </c>
      <c r="H43" s="30" t="n">
        <f aca="false">H16+H27+H38</f>
        <v>873000</v>
      </c>
      <c r="I43" s="30" t="n">
        <f aca="false">I16+I27+I38</f>
        <v>3823500</v>
      </c>
      <c r="J43" s="30" t="n">
        <f aca="false">J16+J27+J38</f>
        <v>841500</v>
      </c>
      <c r="K43" s="30" t="n">
        <f aca="false">K16+K27+K38</f>
        <v>7810000</v>
      </c>
      <c r="L43" s="30" t="n">
        <f aca="false">L16+L27+L38</f>
        <v>837000</v>
      </c>
      <c r="M43" s="30" t="n">
        <f aca="false">M16+M27+M38</f>
        <v>900000</v>
      </c>
      <c r="N43" s="30" t="n">
        <f aca="false">N16+N27+N38</f>
        <v>630000</v>
      </c>
      <c r="O43" s="30" t="n">
        <f aca="false">O16+O27+O38</f>
        <v>0</v>
      </c>
      <c r="P43" s="28" t="n">
        <f aca="false">SUM(C43:O43)</f>
        <v>37130000</v>
      </c>
    </row>
    <row r="44" customFormat="false" ht="15" hidden="false" customHeight="false" outlineLevel="0" collapsed="false">
      <c r="A44" s="5" t="s">
        <v>133</v>
      </c>
      <c r="B44" s="15" t="s">
        <v>126</v>
      </c>
      <c r="C44" s="30" t="n">
        <f aca="false">C17+C28+C39</f>
        <v>0</v>
      </c>
      <c r="D44" s="30" t="n">
        <f aca="false">D17+D28+D39</f>
        <v>961810.932</v>
      </c>
      <c r="E44" s="30" t="n">
        <f aca="false">E17+E28+E39</f>
        <v>1803195.42</v>
      </c>
      <c r="F44" s="30" t="n">
        <f aca="false">F17+F28+F39</f>
        <v>1187449.328</v>
      </c>
      <c r="G44" s="30" t="n">
        <f aca="false">G17+G28+G39</f>
        <v>1052458.32</v>
      </c>
      <c r="H44" s="30" t="n">
        <f aca="false">H17+H28+H39</f>
        <v>1387073.4</v>
      </c>
      <c r="I44" s="30" t="n">
        <f aca="false">I17+I28+I39</f>
        <v>1248366.06</v>
      </c>
      <c r="J44" s="30" t="n">
        <f aca="false">J17+J28+J39</f>
        <v>1326156.668</v>
      </c>
      <c r="K44" s="30" t="n">
        <f aca="false">K17+K28+K39</f>
        <v>1248366.06</v>
      </c>
      <c r="L44" s="30" t="n">
        <f aca="false">L17+L28+L39</f>
        <v>1248366.06</v>
      </c>
      <c r="M44" s="30" t="n">
        <f aca="false">M17+M28+M39</f>
        <v>1387073.4</v>
      </c>
      <c r="N44" s="30" t="n">
        <f aca="false">N17+N28+N39</f>
        <v>1387073.4</v>
      </c>
      <c r="O44" s="30" t="n">
        <f aca="false">O17+O28+O39</f>
        <v>1387073.4</v>
      </c>
      <c r="P44" s="28" t="n">
        <f aca="false">SUM(C44:O44)</f>
        <v>15624462.448</v>
      </c>
    </row>
    <row r="45" customFormat="false" ht="15" hidden="false" customHeight="false" outlineLevel="0" collapsed="false">
      <c r="A45" s="5" t="s">
        <v>134</v>
      </c>
      <c r="B45" s="15" t="s">
        <v>126</v>
      </c>
      <c r="C45" s="30" t="n">
        <f aca="false">C15*Допущения!$B$28+C26*Допущения!$C$28+C37*Допущения!$D$28</f>
        <v>0</v>
      </c>
      <c r="D45" s="30" t="n">
        <f aca="false">D15*Допущения!$B$28+D26*Допущения!$C$28+D37*Допущения!$D$28</f>
        <v>1411664.19491362</v>
      </c>
      <c r="E45" s="30" t="n">
        <f aca="false">E15*Допущения!$B$28+E26*Допущения!$C$28+E37*Допущения!$D$28</f>
        <v>2304267.61140584</v>
      </c>
      <c r="F45" s="30" t="n">
        <f aca="false">F15*Допущения!$B$28+F26*Допущения!$C$28+F37*Допущения!$D$28</f>
        <v>1519019.5344036</v>
      </c>
      <c r="G45" s="30" t="n">
        <f aca="false">G15*Допущения!$B$28+G26*Допущения!$C$28+G37*Допущения!$D$28</f>
        <v>1320891.22634555</v>
      </c>
      <c r="H45" s="30" t="n">
        <f aca="false">H15*Допущения!$B$28+H26*Допущения!$C$28+H37*Допущения!$D$28</f>
        <v>1772513.54723526</v>
      </c>
      <c r="I45" s="30" t="n">
        <f aca="false">I15*Допущения!$B$28+I26*Допущения!$C$28+I37*Допущения!$D$28</f>
        <v>1595262.19251174</v>
      </c>
      <c r="J45" s="30" t="n">
        <f aca="false">J15*Допущения!$B$28+J26*Допущения!$C$28+J37*Допущения!$D$28</f>
        <v>1696270.88912713</v>
      </c>
      <c r="K45" s="30" t="n">
        <f aca="false">K15*Допущения!$B$28+K26*Допущения!$C$28+K37*Допущения!$D$28</f>
        <v>1595262.19251174</v>
      </c>
      <c r="L45" s="30" t="n">
        <f aca="false">L15*Допущения!$B$28+L26*Допущения!$C$28+L37*Допущения!$D$28</f>
        <v>1595262.19251174</v>
      </c>
      <c r="M45" s="30" t="n">
        <f aca="false">M15*Допущения!$B$28+M26*Допущения!$C$28+M37*Допущения!$D$28</f>
        <v>1772513.54723526</v>
      </c>
      <c r="N45" s="30" t="n">
        <f aca="false">N15*Допущения!$B$28+N26*Допущения!$C$28+N37*Допущения!$D$28</f>
        <v>1772513.54723526</v>
      </c>
      <c r="O45" s="30" t="n">
        <f aca="false">O15*Допущения!$B$28+O26*Допущения!$C$28+O37*Допущения!$D$28</f>
        <v>1772513.54723526</v>
      </c>
      <c r="P45" s="28" t="n">
        <f aca="false">SUM(C45:O45)</f>
        <v>20127954.222672</v>
      </c>
    </row>
    <row r="46" customFormat="false" ht="15" hidden="false" customHeight="false" outlineLevel="0" collapsed="false">
      <c r="A46" s="5" t="s">
        <v>135</v>
      </c>
      <c r="B46" s="15" t="s">
        <v>126</v>
      </c>
      <c r="C46" s="30" t="n">
        <f aca="false">C42*Допущения!$B$37</f>
        <v>0</v>
      </c>
      <c r="D46" s="30" t="n">
        <f aca="false">D42*Допущения!$B$37</f>
        <v>254251.92</v>
      </c>
      <c r="E46" s="30" t="n">
        <f aca="false">E42*Допущения!$B$37</f>
        <v>424730.8</v>
      </c>
      <c r="F46" s="30" t="n">
        <f aca="false">F42*Допущения!$B$37</f>
        <v>279938.88</v>
      </c>
      <c r="G46" s="30" t="n">
        <f aca="false">G42*Допущения!$B$37</f>
        <v>244254.4</v>
      </c>
      <c r="H46" s="30" t="n">
        <f aca="false">H42*Допущения!$B$37</f>
        <v>326716</v>
      </c>
      <c r="I46" s="30" t="n">
        <f aca="false">I42*Допущения!$B$37</f>
        <v>294044.4</v>
      </c>
      <c r="J46" s="30" t="n">
        <f aca="false">J42*Допущения!$B$37</f>
        <v>312610.48</v>
      </c>
      <c r="K46" s="30" t="n">
        <f aca="false">K42*Допущения!$B$37</f>
        <v>294044.4</v>
      </c>
      <c r="L46" s="30" t="n">
        <f aca="false">L42*Допущения!$B$37</f>
        <v>294044.4</v>
      </c>
      <c r="M46" s="30" t="n">
        <f aca="false">M42*Допущения!$B$37</f>
        <v>326716</v>
      </c>
      <c r="N46" s="30" t="n">
        <f aca="false">N42*Допущения!$B$37</f>
        <v>326716</v>
      </c>
      <c r="O46" s="30" t="n">
        <f aca="false">O42*Допущения!$B$37</f>
        <v>326716</v>
      </c>
      <c r="P46" s="28" t="n">
        <f aca="false">SUM(C46:O46)</f>
        <v>3704783.68</v>
      </c>
    </row>
    <row r="47" customFormat="false" ht="15" hidden="false" customHeight="false" outlineLevel="0" collapsed="false">
      <c r="A47" s="5" t="s">
        <v>136</v>
      </c>
      <c r="B47" s="15" t="s">
        <v>126</v>
      </c>
      <c r="C47" s="30" t="n">
        <v>0</v>
      </c>
      <c r="D47" s="30" t="n">
        <f aca="false">Допущения!$B$38</f>
        <v>300000</v>
      </c>
      <c r="E47" s="30" t="n">
        <f aca="false">Допущения!$B$38</f>
        <v>300000</v>
      </c>
      <c r="F47" s="30" t="n">
        <f aca="false">Допущения!$B$38</f>
        <v>300000</v>
      </c>
      <c r="G47" s="30" t="n">
        <f aca="false">Допущения!$B$38</f>
        <v>300000</v>
      </c>
      <c r="H47" s="30" t="n">
        <f aca="false">Допущения!$B$38</f>
        <v>300000</v>
      </c>
      <c r="I47" s="30" t="n">
        <f aca="false">Допущения!$B$38</f>
        <v>300000</v>
      </c>
      <c r="J47" s="30" t="n">
        <f aca="false">Допущения!$B$38</f>
        <v>300000</v>
      </c>
      <c r="K47" s="30" t="n">
        <f aca="false">Допущения!$B$38</f>
        <v>300000</v>
      </c>
      <c r="L47" s="30" t="n">
        <f aca="false">Допущения!$B$38</f>
        <v>300000</v>
      </c>
      <c r="M47" s="30" t="n">
        <f aca="false">Допущения!$B$38</f>
        <v>300000</v>
      </c>
      <c r="N47" s="30" t="n">
        <f aca="false">Допущения!$B$38</f>
        <v>300000</v>
      </c>
      <c r="O47" s="30" t="n">
        <f aca="false">Допущения!$B$38</f>
        <v>300000</v>
      </c>
      <c r="P47" s="28" t="n">
        <f aca="false">SUM(C47:O47)</f>
        <v>3600000</v>
      </c>
    </row>
    <row r="48" customFormat="false" ht="15" hidden="false" customHeight="false" outlineLevel="0" collapsed="false">
      <c r="A48" s="20" t="s">
        <v>137</v>
      </c>
      <c r="B48" s="15" t="s">
        <v>126</v>
      </c>
      <c r="C48" s="31" t="n">
        <f aca="false">C42-C43-C44-C45-C46-C47</f>
        <v>-7905000</v>
      </c>
      <c r="D48" s="31" t="n">
        <f aca="false">D42-D43-D44-D45-D46-D47</f>
        <v>2294570.95308638</v>
      </c>
      <c r="E48" s="31" t="n">
        <f aca="false">E42-E43-E44-E45-E46-E47</f>
        <v>2075076.16859416</v>
      </c>
      <c r="F48" s="31" t="n">
        <f aca="false">F42-F43-F44-F45-F46-F47</f>
        <v>2852564.2575964</v>
      </c>
      <c r="G48" s="31" t="n">
        <f aca="false">G42-G43-G44-G45-G46-G47</f>
        <v>-4616743.94634555</v>
      </c>
      <c r="H48" s="31" t="n">
        <f aca="false">H42-H43-H44-H45-H46-H47</f>
        <v>3508597.05276474</v>
      </c>
      <c r="I48" s="31" t="n">
        <f aca="false">I42-I43-I44-I45-I46-I47</f>
        <v>89937.3474882649</v>
      </c>
      <c r="J48" s="31" t="n">
        <f aca="false">J42-J43-J44-J45-J46-J47</f>
        <v>3338723.96287287</v>
      </c>
      <c r="K48" s="31" t="n">
        <f aca="false">K42-K43-K44-K45-K46-K47</f>
        <v>-3896562.65251174</v>
      </c>
      <c r="L48" s="31" t="n">
        <f aca="false">L42-L43-L44-L45-L46-L47</f>
        <v>3076437.34748826</v>
      </c>
      <c r="M48" s="31" t="n">
        <f aca="false">M42-M43-M44-M45-M46-M47</f>
        <v>3481597.05276474</v>
      </c>
      <c r="N48" s="31" t="n">
        <f aca="false">N42-N43-N44-N45-N46-N47</f>
        <v>3751597.05276474</v>
      </c>
      <c r="O48" s="31" t="n">
        <f aca="false">O42-O43-O44-O45-O46-O47</f>
        <v>4381597.05276474</v>
      </c>
      <c r="P48" s="28" t="n">
        <f aca="false">SUM(C48:O48)</f>
        <v>12432391.649328</v>
      </c>
    </row>
    <row r="49" customFormat="false" ht="15" hidden="false" customHeight="false" outlineLevel="0" collapsed="false">
      <c r="A49" s="3" t="s">
        <v>138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customFormat="false" ht="15" hidden="false" customHeight="false" outlineLevel="0" collapsed="false">
      <c r="A50" s="5" t="s">
        <v>139</v>
      </c>
      <c r="B50" s="15" t="s">
        <v>126</v>
      </c>
      <c r="C50" s="30" t="n">
        <f aca="false">Допущения!$B$6+Допущения!$B$7+Допущения!$B$9</f>
        <v>9000000</v>
      </c>
      <c r="D50" s="30" t="n">
        <f aca="false">IF(1=Допущения!$B$11,Допущения!$B$10,0)</f>
        <v>0</v>
      </c>
      <c r="E50" s="30" t="n">
        <f aca="false">IF(2=Допущения!$B$11,Допущения!$B$10,0)</f>
        <v>0</v>
      </c>
      <c r="F50" s="30" t="n">
        <f aca="false">IF(3=Допущения!$B$11,Допущения!$B$10,0)</f>
        <v>0</v>
      </c>
      <c r="G50" s="30" t="n">
        <f aca="false">IF(4=Допущения!$B$11,Допущения!$B$10,0)</f>
        <v>0</v>
      </c>
      <c r="H50" s="30" t="n">
        <f aca="false">IF(5=Допущения!$B$11,Допущения!$B$10,0)</f>
        <v>0</v>
      </c>
      <c r="I50" s="30" t="n">
        <f aca="false">IF(6=Допущения!$B$11,Допущения!$B$10,0)</f>
        <v>0</v>
      </c>
      <c r="J50" s="30" t="n">
        <f aca="false">IF(7=Допущения!$B$11,Допущения!$B$10,0)</f>
        <v>0</v>
      </c>
      <c r="K50" s="30" t="n">
        <f aca="false">IF(8=Допущения!$B$11,Допущения!$B$10,0)</f>
        <v>0</v>
      </c>
      <c r="L50" s="30" t="n">
        <f aca="false">IF(9=Допущения!$B$11,Допущения!$B$10,0)</f>
        <v>0</v>
      </c>
      <c r="M50" s="30" t="n">
        <f aca="false">IF(10=Допущения!$B$11,Допущения!$B$10,0)</f>
        <v>0</v>
      </c>
      <c r="N50" s="30" t="n">
        <f aca="false">IF(11=Допущения!$B$11,Допущения!$B$10,0)</f>
        <v>0</v>
      </c>
      <c r="O50" s="30" t="n">
        <f aca="false">IF(12=Допущения!$B$11,Допущения!$B$10,0)</f>
        <v>0</v>
      </c>
      <c r="P50" s="28" t="n">
        <f aca="false">SUM(C50:O50)</f>
        <v>9000000</v>
      </c>
    </row>
    <row r="51" customFormat="false" ht="15" hidden="false" customHeight="false" outlineLevel="0" collapsed="false">
      <c r="A51" s="5" t="s">
        <v>140</v>
      </c>
      <c r="B51" s="15" t="s">
        <v>126</v>
      </c>
      <c r="C51" s="30" t="n">
        <v>0</v>
      </c>
      <c r="D51" s="30" t="n">
        <f aca="false">IF(1&lt;=Допущения!$B$13,Допущения!$B$6+Допущения!$B$7+Допущения!$B$9+IF(1&gt;Допущения!$B$11,Допущения!$B$10,0),0)</f>
        <v>9000000</v>
      </c>
      <c r="E51" s="30" t="n">
        <f aca="false">IF(2&lt;=Допущения!$B$13,Допущения!$B$6+Допущения!$B$7+Допущения!$B$9+IF(2&gt;Допущения!$B$11,Допущения!$B$10,0),0)</f>
        <v>9000000</v>
      </c>
      <c r="F51" s="30" t="n">
        <f aca="false">IF(3&lt;=Допущения!$B$13,Допущения!$B$6+Допущения!$B$7+Допущения!$B$9+IF(3&gt;Допущения!$B$11,Допущения!$B$10,0),0)</f>
        <v>9000000</v>
      </c>
      <c r="G51" s="30" t="n">
        <f aca="false">IF(4&lt;=Допущения!$B$13,Допущения!$B$6+Допущения!$B$7+Допущения!$B$9+IF(4&gt;Допущения!$B$11,Допущения!$B$10,0),0)</f>
        <v>9000000</v>
      </c>
      <c r="H51" s="30" t="n">
        <f aca="false">IF(5&lt;=Допущения!$B$13,Допущения!$B$6+Допущения!$B$7+Допущения!$B$9+IF(5&gt;Допущения!$B$11,Допущения!$B$10,0),0)</f>
        <v>9000000</v>
      </c>
      <c r="I51" s="30" t="n">
        <f aca="false">IF(6&lt;=Допущения!$B$13,Допущения!$B$6+Допущения!$B$7+Допущения!$B$9+IF(6&gt;Допущения!$B$11,Допущения!$B$10,0),0)</f>
        <v>9000000</v>
      </c>
      <c r="J51" s="30" t="n">
        <f aca="false">IF(7&lt;=Допущения!$B$13,Допущения!$B$6+Допущения!$B$7+Допущения!$B$9+IF(7&gt;Допущения!$B$11,Допущения!$B$10,0),0)</f>
        <v>9000000</v>
      </c>
      <c r="K51" s="30" t="n">
        <f aca="false">IF(8&lt;=Допущения!$B$13,Допущения!$B$6+Допущения!$B$7+Допущения!$B$9+IF(8&gt;Допущения!$B$11,Допущения!$B$10,0),0)</f>
        <v>9000000</v>
      </c>
      <c r="L51" s="30" t="n">
        <f aca="false">IF(9&lt;=Допущения!$B$13,Допущения!$B$6+Допущения!$B$7+Допущения!$B$9+IF(9&gt;Допущения!$B$11,Допущения!$B$10,0),0)</f>
        <v>9000000</v>
      </c>
      <c r="M51" s="30" t="n">
        <f aca="false">IF(10&lt;=Допущения!$B$13,Допущения!$B$6+Допущения!$B$7+Допущения!$B$9+IF(10&gt;Допущения!$B$11,Допущения!$B$10,0),0)</f>
        <v>9000000</v>
      </c>
      <c r="N51" s="30" t="n">
        <f aca="false">IF(11&lt;=Допущения!$B$13,Допущения!$B$6+Допущения!$B$7+Допущения!$B$9+IF(11&gt;Допущения!$B$11,Допущения!$B$10,0),0)</f>
        <v>9000000</v>
      </c>
      <c r="O51" s="30" t="n">
        <f aca="false">IF(12&lt;=Допущения!$B$13,Допущения!$B$6+Допущения!$B$7+Допущения!$B$9+IF(12&gt;Допущения!$B$11,Допущения!$B$10,0),0)</f>
        <v>9000000</v>
      </c>
    </row>
    <row r="52" customFormat="false" ht="15" hidden="false" customHeight="false" outlineLevel="0" collapsed="false">
      <c r="A52" s="5" t="s">
        <v>141</v>
      </c>
      <c r="B52" s="15" t="s">
        <v>126</v>
      </c>
      <c r="C52" s="30" t="n">
        <v>0</v>
      </c>
      <c r="D52" s="30" t="n">
        <f aca="false">D51*Допущения!$B$12</f>
        <v>360000</v>
      </c>
      <c r="E52" s="30" t="n">
        <f aca="false">E51*Допущения!$B$12</f>
        <v>360000</v>
      </c>
      <c r="F52" s="30" t="n">
        <f aca="false">F51*Допущения!$B$12</f>
        <v>360000</v>
      </c>
      <c r="G52" s="30" t="n">
        <f aca="false">G51*Допущения!$B$12</f>
        <v>360000</v>
      </c>
      <c r="H52" s="30" t="n">
        <f aca="false">H51*Допущения!$B$12</f>
        <v>360000</v>
      </c>
      <c r="I52" s="30" t="n">
        <f aca="false">I51*Допущения!$B$12</f>
        <v>360000</v>
      </c>
      <c r="J52" s="30" t="n">
        <f aca="false">J51*Допущения!$B$12</f>
        <v>360000</v>
      </c>
      <c r="K52" s="30" t="n">
        <f aca="false">K51*Допущения!$B$12</f>
        <v>360000</v>
      </c>
      <c r="L52" s="30" t="n">
        <f aca="false">L51*Допущения!$B$12</f>
        <v>360000</v>
      </c>
      <c r="M52" s="30" t="n">
        <f aca="false">M51*Допущения!$B$12</f>
        <v>360000</v>
      </c>
      <c r="N52" s="30" t="n">
        <f aca="false">N51*Допущения!$B$12</f>
        <v>360000</v>
      </c>
      <c r="O52" s="30" t="n">
        <f aca="false">O51*Допущения!$B$12</f>
        <v>360000</v>
      </c>
      <c r="P52" s="28" t="n">
        <f aca="false">SUM(C52:O52)</f>
        <v>4320000</v>
      </c>
    </row>
    <row r="53" customFormat="false" ht="15" hidden="false" customHeight="false" outlineLevel="0" collapsed="false">
      <c r="A53" s="5" t="s">
        <v>11</v>
      </c>
      <c r="B53" s="15" t="s">
        <v>126</v>
      </c>
      <c r="C53" s="30" t="n">
        <v>0</v>
      </c>
      <c r="D53" s="30" t="n">
        <f aca="false">IF(1=Допущения!$B$13,D51+IF(1=Допущения!$B$11,Допущения!$B$10,0),0)</f>
        <v>0</v>
      </c>
      <c r="E53" s="30" t="n">
        <f aca="false">IF(2=Допущения!$B$13,E51+IF(2=Допущения!$B$11,Допущения!$B$10,0),0)</f>
        <v>0</v>
      </c>
      <c r="F53" s="30" t="n">
        <f aca="false">IF(3=Допущения!$B$13,F51+IF(3=Допущения!$B$11,Допущения!$B$10,0),0)</f>
        <v>0</v>
      </c>
      <c r="G53" s="30" t="n">
        <f aca="false">IF(4=Допущения!$B$13,G51+IF(4=Допущения!$B$11,Допущения!$B$10,0),0)</f>
        <v>0</v>
      </c>
      <c r="H53" s="30" t="n">
        <f aca="false">IF(5=Допущения!$B$13,H51+IF(5=Допущения!$B$11,Допущения!$B$10,0),0)</f>
        <v>0</v>
      </c>
      <c r="I53" s="30" t="n">
        <f aca="false">IF(6=Допущения!$B$13,I51+IF(6=Допущения!$B$11,Допущения!$B$10,0),0)</f>
        <v>0</v>
      </c>
      <c r="J53" s="30" t="n">
        <f aca="false">IF(7=Допущения!$B$13,J51+IF(7=Допущения!$B$11,Допущения!$B$10,0),0)</f>
        <v>0</v>
      </c>
      <c r="K53" s="30" t="n">
        <f aca="false">IF(8=Допущения!$B$13,K51+IF(8=Допущения!$B$11,Допущения!$B$10,0),0)</f>
        <v>0</v>
      </c>
      <c r="L53" s="30" t="n">
        <f aca="false">IF(9=Допущения!$B$13,L51+IF(9=Допущения!$B$11,Допущения!$B$10,0),0)</f>
        <v>0</v>
      </c>
      <c r="M53" s="30" t="n">
        <f aca="false">IF(10=Допущения!$B$13,M51+IF(10=Допущения!$B$11,Допущения!$B$10,0),0)</f>
        <v>0</v>
      </c>
      <c r="N53" s="30" t="n">
        <f aca="false">IF(11=Допущения!$B$13,N51+IF(11=Допущения!$B$11,Допущения!$B$10,0),0)</f>
        <v>0</v>
      </c>
      <c r="O53" s="30" t="n">
        <f aca="false">IF(12=Допущения!$B$13,O51+IF(12=Допущения!$B$11,Допущения!$B$10,0),0)</f>
        <v>9000000</v>
      </c>
      <c r="P53" s="28" t="n">
        <f aca="false">SUM(C53:O53)</f>
        <v>9000000</v>
      </c>
    </row>
    <row r="54" customFormat="false" ht="15" hidden="false" customHeight="false" outlineLevel="0" collapsed="false">
      <c r="A54" s="20" t="s">
        <v>142</v>
      </c>
      <c r="B54" s="15" t="s">
        <v>126</v>
      </c>
      <c r="C54" s="31" t="n">
        <f aca="false">C48+C50-C52-C53</f>
        <v>1095000</v>
      </c>
      <c r="D54" s="31" t="n">
        <f aca="false">D48+D50-D52-D53</f>
        <v>1934570.95308638</v>
      </c>
      <c r="E54" s="31" t="n">
        <f aca="false">E48+E50-E52-E53</f>
        <v>1715076.16859416</v>
      </c>
      <c r="F54" s="31" t="n">
        <f aca="false">F48+F50-F52-F53</f>
        <v>2492564.2575964</v>
      </c>
      <c r="G54" s="31" t="n">
        <f aca="false">G48+G50-G52-G53</f>
        <v>-4976743.94634555</v>
      </c>
      <c r="H54" s="31" t="n">
        <f aca="false">H48+H50-H52-H53</f>
        <v>3148597.05276474</v>
      </c>
      <c r="I54" s="31" t="n">
        <f aca="false">I48+I50-I52-I53</f>
        <v>-270062.652511735</v>
      </c>
      <c r="J54" s="31" t="n">
        <f aca="false">J48+J50-J52-J53</f>
        <v>2978723.96287287</v>
      </c>
      <c r="K54" s="31" t="n">
        <f aca="false">K48+K50-K52-K53</f>
        <v>-4256562.65251173</v>
      </c>
      <c r="L54" s="31" t="n">
        <f aca="false">L48+L50-L52-L53</f>
        <v>2716437.34748826</v>
      </c>
      <c r="M54" s="31" t="n">
        <f aca="false">M48+M50-M52-M53</f>
        <v>3121597.05276474</v>
      </c>
      <c r="N54" s="31" t="n">
        <f aca="false">N48+N50-N52-N53</f>
        <v>3391597.05276474</v>
      </c>
      <c r="O54" s="31" t="n">
        <f aca="false">O48+O50-O52-O53</f>
        <v>-4978402.94723526</v>
      </c>
      <c r="P54" s="28" t="n">
        <f aca="false">SUM(C54:O54)</f>
        <v>8112391.64932801</v>
      </c>
    </row>
    <row r="55" customFormat="false" ht="15" hidden="false" customHeight="false" outlineLevel="0" collapsed="false">
      <c r="A55" s="12" t="s">
        <v>143</v>
      </c>
      <c r="B55" s="32" t="s">
        <v>126</v>
      </c>
      <c r="C55" s="33" t="n">
        <f aca="false">C54</f>
        <v>1095000</v>
      </c>
      <c r="D55" s="33" t="n">
        <f aca="false">C55+D54</f>
        <v>3029570.95308638</v>
      </c>
      <c r="E55" s="33" t="n">
        <f aca="false">D55+E54</f>
        <v>4744647.12168054</v>
      </c>
      <c r="F55" s="33" t="n">
        <f aca="false">E55+F54</f>
        <v>7237211.37927694</v>
      </c>
      <c r="G55" s="33" t="n">
        <f aca="false">F55+G54</f>
        <v>2260467.43293139</v>
      </c>
      <c r="H55" s="33" t="n">
        <f aca="false">G55+H54</f>
        <v>5409064.48569613</v>
      </c>
      <c r="I55" s="33" t="n">
        <f aca="false">H55+I54</f>
        <v>5139001.83318439</v>
      </c>
      <c r="J55" s="33" t="n">
        <f aca="false">I55+J54</f>
        <v>8117725.79605727</v>
      </c>
      <c r="K55" s="33" t="n">
        <f aca="false">J55+K54</f>
        <v>3861163.14354553</v>
      </c>
      <c r="L55" s="33" t="n">
        <f aca="false">K55+L54</f>
        <v>6577600.4910338</v>
      </c>
      <c r="M55" s="33" t="n">
        <f aca="false">L55+M54</f>
        <v>9699197.54379854</v>
      </c>
      <c r="N55" s="33" t="n">
        <f aca="false">M55+N54</f>
        <v>13090794.5965633</v>
      </c>
      <c r="O55" s="33" t="n">
        <f aca="false">N55+O54</f>
        <v>8112391.64932801</v>
      </c>
    </row>
    <row r="56" customFormat="false" ht="15" hidden="false" customHeight="false" outlineLevel="0" collapsed="false">
      <c r="A56" s="3" t="s">
        <v>144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customFormat="false" ht="15" hidden="false" customHeight="false" outlineLevel="0" collapsed="false">
      <c r="A57" s="20" t="s">
        <v>145</v>
      </c>
      <c r="B57" s="15" t="s">
        <v>126</v>
      </c>
      <c r="C57" s="31" t="n">
        <f aca="false">C18+C29+C40-C45-C46-C47-C52</f>
        <v>0</v>
      </c>
      <c r="D57" s="31" t="n">
        <f aca="false">D18+D29+D40-D45-D46-D47-D52</f>
        <v>218570.953086376</v>
      </c>
      <c r="E57" s="31" t="n">
        <f aca="false">E18+E29+E40-E45-E46-E47-E52</f>
        <v>1006076.16859416</v>
      </c>
      <c r="F57" s="31" t="n">
        <f aca="false">F18+F29+F40-F45-F46-F47-F52</f>
        <v>437064.2575964</v>
      </c>
      <c r="G57" s="31" t="n">
        <f aca="false">G18+G29+G40-G45-G46-G47-G52</f>
        <v>313756.053654452</v>
      </c>
      <c r="H57" s="31" t="n">
        <f aca="false">H18+H29+H40-H45-H46-H47-H52</f>
        <v>621597.052764739</v>
      </c>
      <c r="I57" s="31" t="n">
        <f aca="false">I18+I29+I40-I45-I46-I47-I52</f>
        <v>493437.347488265</v>
      </c>
      <c r="J57" s="31" t="n">
        <f aca="false">J18+J29+J40-J45-J46-J47-J52</f>
        <v>565223.962872874</v>
      </c>
      <c r="K57" s="31" t="n">
        <f aca="false">K18+K29+K40-K45-K46-K47-K52</f>
        <v>493437.347488265</v>
      </c>
      <c r="L57" s="31" t="n">
        <f aca="false">L18+L29+L40-L45-L46-L47-L52</f>
        <v>493437.347488265</v>
      </c>
      <c r="M57" s="31" t="n">
        <f aca="false">M18+M29+M40-M45-M46-M47-M52</f>
        <v>621597.052764739</v>
      </c>
      <c r="N57" s="31" t="n">
        <f aca="false">N18+N29+N40-N45-N46-N47-N52</f>
        <v>621597.052764739</v>
      </c>
      <c r="O57" s="31" t="n">
        <f aca="false">O18+O29+O40-O45-O46-O47-O52</f>
        <v>621597.052764739</v>
      </c>
      <c r="P57" s="28" t="n">
        <f aca="false">SUM(C57:O57)</f>
        <v>6507391.64932801</v>
      </c>
    </row>
    <row r="58" customFormat="false" ht="15" hidden="false" customHeight="false" outlineLevel="0" collapsed="false">
      <c r="A58" s="5" t="s">
        <v>146</v>
      </c>
      <c r="B58" s="15" t="s">
        <v>116</v>
      </c>
      <c r="C58" s="34"/>
      <c r="D58" s="34" t="n">
        <f aca="false">IF(D52&gt;0,(D57+D52)/D52,"")</f>
        <v>1.60714153635104</v>
      </c>
      <c r="E58" s="34" t="n">
        <f aca="false">IF(E52&gt;0,(E57+E52)/E52,"")</f>
        <v>3.79465602387267</v>
      </c>
      <c r="F58" s="34" t="n">
        <f aca="false">IF(F52&gt;0,(F57+F52)/F52,"")</f>
        <v>2.21406738221222</v>
      </c>
      <c r="G58" s="34" t="n">
        <f aca="false">IF(G52&gt;0,(G57+G52)/G52,"")</f>
        <v>1.87154459348459</v>
      </c>
      <c r="H58" s="34" t="n">
        <f aca="false">IF(H52&gt;0,(H57+H52)/H52,"")</f>
        <v>2.72665847990205</v>
      </c>
      <c r="I58" s="34" t="n">
        <f aca="false">IF(I52&gt;0,(I57+I52)/I52,"")</f>
        <v>2.37065929857851</v>
      </c>
      <c r="J58" s="34" t="n">
        <f aca="false">IF(J52&gt;0,(J57+J52)/J52,"")</f>
        <v>2.57006656353576</v>
      </c>
      <c r="K58" s="34" t="n">
        <f aca="false">IF(K52&gt;0,(K57+K52)/K52,"")</f>
        <v>2.37065929857851</v>
      </c>
      <c r="L58" s="34" t="n">
        <f aca="false">IF(L52&gt;0,(L57+L52)/L52,"")</f>
        <v>2.37065929857851</v>
      </c>
      <c r="M58" s="34" t="n">
        <f aca="false">IF(M52&gt;0,(M57+M52)/M52,"")</f>
        <v>2.72665847990205</v>
      </c>
      <c r="N58" s="34" t="n">
        <f aca="false">IF(N52&gt;0,(N57+N52)/N52,"")</f>
        <v>2.72665847990205</v>
      </c>
      <c r="O58" s="34" t="n">
        <f aca="false">IF(O52&gt;0,(O57+O52)/O52,"")</f>
        <v>2.72665847990205</v>
      </c>
    </row>
    <row r="59" customFormat="false" ht="15" hidden="false" customHeight="false" outlineLevel="0" collapsed="false">
      <c r="A59" s="5" t="s">
        <v>147</v>
      </c>
      <c r="B59" s="15" t="s">
        <v>126</v>
      </c>
      <c r="C59" s="30" t="n">
        <f aca="false">C57</f>
        <v>0</v>
      </c>
      <c r="D59" s="30" t="n">
        <f aca="false">C59+D57</f>
        <v>218570.953086376</v>
      </c>
      <c r="E59" s="30" t="n">
        <f aca="false">D59+E57</f>
        <v>1224647.12168054</v>
      </c>
      <c r="F59" s="30" t="n">
        <f aca="false">E59+F57</f>
        <v>1661711.37927694</v>
      </c>
      <c r="G59" s="30" t="n">
        <f aca="false">F59+G57</f>
        <v>1975467.43293139</v>
      </c>
      <c r="H59" s="30" t="n">
        <f aca="false">G59+H57</f>
        <v>2597064.48569613</v>
      </c>
      <c r="I59" s="30" t="n">
        <f aca="false">H59+I57</f>
        <v>3090501.83318439</v>
      </c>
      <c r="J59" s="30" t="n">
        <f aca="false">I59+J57</f>
        <v>3655725.79605727</v>
      </c>
      <c r="K59" s="30" t="n">
        <f aca="false">J59+K57</f>
        <v>4149163.14354553</v>
      </c>
      <c r="L59" s="30" t="n">
        <f aca="false">K59+L57</f>
        <v>4642600.4910338</v>
      </c>
      <c r="M59" s="30" t="n">
        <f aca="false">L59+M57</f>
        <v>5264197.54379854</v>
      </c>
      <c r="N59" s="30" t="n">
        <f aca="false">M59+N57</f>
        <v>5885794.59656327</v>
      </c>
      <c r="O59" s="30" t="n">
        <f aca="false">N59+O57</f>
        <v>6507391.64932801</v>
      </c>
    </row>
    <row r="61" customFormat="false" ht="15" hidden="false" customHeight="false" outlineLevel="0" collapsed="false">
      <c r="A61" s="20" t="s">
        <v>148</v>
      </c>
    </row>
    <row r="62" customFormat="false" ht="15" hidden="false" customHeight="false" outlineLevel="0" collapsed="false">
      <c r="A62" s="5" t="s">
        <v>149</v>
      </c>
      <c r="C62" s="31" t="n">
        <f aca="false">O55</f>
        <v>8112391.64932801</v>
      </c>
    </row>
    <row r="63" customFormat="false" ht="15" hidden="false" customHeight="false" outlineLevel="0" collapsed="false">
      <c r="A63" s="5" t="s">
        <v>150</v>
      </c>
      <c r="C63" s="31" t="n">
        <f aca="false">O14*Допущения!$B$24+O25*Допущения!$C$24+O36*Допущения!$D$24</f>
        <v>895000</v>
      </c>
    </row>
    <row r="64" customFormat="false" ht="15" hidden="false" customHeight="false" outlineLevel="0" collapsed="false">
      <c r="A64" s="5" t="s">
        <v>28</v>
      </c>
      <c r="C64" s="31" t="n">
        <f aca="false">MIN(C55:O55)</f>
        <v>1095000</v>
      </c>
    </row>
    <row r="65" customFormat="false" ht="15" hidden="false" customHeight="false" outlineLevel="0" collapsed="false">
      <c r="A65" s="5" t="s">
        <v>29</v>
      </c>
      <c r="C65" s="35" t="n">
        <f aca="false">MIN(D58:O58)</f>
        <v>1.60714153635104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23.85" hidden="false" customHeight="false" outlineLevel="0" collapsed="false">
      <c r="A4" s="22" t="s">
        <v>153</v>
      </c>
      <c r="B4" s="22" t="s">
        <v>64</v>
      </c>
      <c r="C4" s="22" t="s">
        <v>65</v>
      </c>
      <c r="D4" s="22" t="s">
        <v>66</v>
      </c>
    </row>
    <row r="5" customFormat="false" ht="15" hidden="false" customHeight="false" outlineLevel="0" collapsed="false">
      <c r="A5" s="20" t="s">
        <v>154</v>
      </c>
      <c r="B5" s="36" t="n">
        <f aca="false">Допущения!$B$25</f>
        <v>111514</v>
      </c>
      <c r="C5" s="36" t="n">
        <f aca="false">Допущения!$C$25</f>
        <v>11344</v>
      </c>
      <c r="D5" s="36" t="n">
        <f aca="false">Допущения!$D$25</f>
        <v>14578</v>
      </c>
    </row>
    <row r="6" customFormat="false" ht="15" hidden="false" customHeight="false" outlineLevel="0" collapsed="false">
      <c r="A6" s="5" t="s">
        <v>155</v>
      </c>
      <c r="B6" s="27" t="n">
        <f aca="false">Допущения!$B$24</f>
        <v>50000</v>
      </c>
      <c r="C6" s="27" t="n">
        <f aca="false">Допущения!$C$24</f>
        <v>4000</v>
      </c>
      <c r="D6" s="27" t="n">
        <f aca="false">Допущения!$D$24</f>
        <v>5000</v>
      </c>
    </row>
    <row r="7" customFormat="false" ht="15" hidden="false" customHeight="false" outlineLevel="0" collapsed="false">
      <c r="A7" s="5" t="s">
        <v>156</v>
      </c>
      <c r="B7" s="27" t="n">
        <f aca="false">Допущения!$B$25*Допущения!$B$27</f>
        <v>12155.026</v>
      </c>
      <c r="C7" s="27" t="n">
        <f aca="false">Допущения!$C$25*Допущения!$C$27</f>
        <v>1281.872</v>
      </c>
      <c r="D7" s="27" t="n">
        <f aca="false">Допущения!$D$25*Допущения!$D$27</f>
        <v>1647.314</v>
      </c>
    </row>
    <row r="8" customFormat="false" ht="15" hidden="false" customHeight="false" outlineLevel="0" collapsed="false">
      <c r="A8" s="5" t="s">
        <v>157</v>
      </c>
      <c r="B8" s="27" t="n">
        <f aca="false">Допущения!$B$29</f>
        <v>1931</v>
      </c>
      <c r="C8" s="27" t="n">
        <f aca="false">Допущения!$C$29</f>
        <v>998</v>
      </c>
      <c r="D8" s="27" t="n">
        <f aca="false">Допущения!$D$29</f>
        <v>1377</v>
      </c>
    </row>
    <row r="9" customFormat="false" ht="15" hidden="false" customHeight="false" outlineLevel="0" collapsed="false">
      <c r="A9" s="5" t="s">
        <v>158</v>
      </c>
      <c r="B9" s="27" t="n">
        <f aca="false">Допущения!$B$25*Допущения!$B$30</f>
        <v>2787.85</v>
      </c>
      <c r="C9" s="27" t="n">
        <f aca="false">Допущения!$C$25*Допущения!$C$30</f>
        <v>56.72</v>
      </c>
      <c r="D9" s="27" t="n">
        <f aca="false">Допущения!$D$25*Допущения!$D$30</f>
        <v>72.89</v>
      </c>
    </row>
    <row r="10" customFormat="false" ht="15" hidden="false" customHeight="false" outlineLevel="0" collapsed="false">
      <c r="A10" s="5" t="s">
        <v>159</v>
      </c>
      <c r="B10" s="27" t="n">
        <f aca="false">Допущения!$B$25*Допущения!$B$37</f>
        <v>4460.56</v>
      </c>
      <c r="C10" s="27" t="n">
        <f aca="false">Допущения!$C$25*Допущения!$B$37</f>
        <v>453.76</v>
      </c>
      <c r="D10" s="27" t="n">
        <f aca="false">Допущения!$D$25*Допущения!$B$37</f>
        <v>583.12</v>
      </c>
    </row>
    <row r="11" customFormat="false" ht="15" hidden="false" customHeight="false" outlineLevel="0" collapsed="false">
      <c r="A11" s="5" t="s">
        <v>160</v>
      </c>
      <c r="B11" s="27" t="n">
        <f aca="false">Допущения!$B$25*Допущения!$B$28</f>
        <v>24766.0385072566</v>
      </c>
      <c r="C11" s="27" t="n">
        <f aca="false">Допущения!$C$25*Допущения!$C$28</f>
        <v>2337.81985900813</v>
      </c>
      <c r="D11" s="27" t="n">
        <f aca="false">Допущения!$D$25*Допущения!$D$28</f>
        <v>3004.2963597162</v>
      </c>
    </row>
    <row r="12" customFormat="false" ht="15" hidden="false" customHeight="false" outlineLevel="0" collapsed="false">
      <c r="A12" s="37" t="s">
        <v>161</v>
      </c>
      <c r="B12" s="28" t="n">
        <f aca="false">B5-B6</f>
        <v>61514</v>
      </c>
      <c r="C12" s="28" t="n">
        <f aca="false">C5-C6</f>
        <v>7344</v>
      </c>
      <c r="D12" s="28" t="n">
        <f aca="false">D5-D6</f>
        <v>9578</v>
      </c>
    </row>
    <row r="13" customFormat="false" ht="15" hidden="false" customHeight="false" outlineLevel="0" collapsed="false">
      <c r="A13" s="37" t="s">
        <v>162</v>
      </c>
      <c r="B13" s="38" t="n">
        <f aca="false">IF(B6&gt;0,(B5-B6)/B6,0)</f>
        <v>1.23028</v>
      </c>
      <c r="C13" s="38" t="n">
        <f aca="false">IF(C6&gt;0,(C5-C6)/C6,0)</f>
        <v>1.836</v>
      </c>
      <c r="D13" s="38" t="n">
        <f aca="false">IF(D6&gt;0,(D5-D6)/D6,0)</f>
        <v>1.9156</v>
      </c>
    </row>
    <row r="14" customFormat="false" ht="15" hidden="false" customHeight="false" outlineLevel="0" collapsed="false">
      <c r="A14" s="37" t="s">
        <v>163</v>
      </c>
      <c r="B14" s="38" t="n">
        <f aca="false">IF(B5&gt;0,(B5-B6)/B5,0)</f>
        <v>0.55162580483168</v>
      </c>
      <c r="C14" s="38" t="n">
        <f aca="false">IF(C5&gt;0,(C5-C6)/C5,0)</f>
        <v>0.647390691114245</v>
      </c>
      <c r="D14" s="38" t="n">
        <f aca="false">IF(D5&gt;0,(D5-D6)/D5,0)</f>
        <v>0.657017423514886</v>
      </c>
    </row>
    <row r="15" customFormat="false" ht="15" hidden="false" customHeight="false" outlineLevel="0" collapsed="false">
      <c r="A15" s="37" t="s">
        <v>164</v>
      </c>
      <c r="B15" s="28" t="n">
        <f aca="false">B5-SUM(B6:B11)</f>
        <v>15413.5254927434</v>
      </c>
      <c r="C15" s="28" t="n">
        <f aca="false">C5-SUM(C6:C11)</f>
        <v>2215.82814099187</v>
      </c>
      <c r="D15" s="28" t="n">
        <f aca="false">D5-SUM(D6:D11)</f>
        <v>2893.3796402838</v>
      </c>
    </row>
    <row r="16" customFormat="false" ht="15" hidden="false" customHeight="false" outlineLevel="0" collapsed="false">
      <c r="A16" s="37" t="s">
        <v>165</v>
      </c>
      <c r="B16" s="38" t="n">
        <f aca="false">IF(B5&gt;0,B15/B5,0)</f>
        <v>0.138220541750304</v>
      </c>
      <c r="C16" s="38" t="n">
        <f aca="false">IF(C5&gt;0,C15/C5,0)</f>
        <v>0.195330407351187</v>
      </c>
      <c r="D16" s="38" t="n">
        <f aca="false">IF(D5&gt;0,D15/D5,0)</f>
        <v>0.198475760754822</v>
      </c>
    </row>
    <row r="17" customFormat="false" ht="15" hidden="false" customHeight="false" outlineLevel="0" collapsed="false">
      <c r="A17" s="37" t="s">
        <v>166</v>
      </c>
      <c r="B17" s="39" t="n">
        <f aca="false">IF(B6&gt;0,B15/B6,0)</f>
        <v>0.308270509854869</v>
      </c>
      <c r="C17" s="39" t="n">
        <f aca="false">IF(C6&gt;0,C15/C6,0)</f>
        <v>0.553957035247967</v>
      </c>
      <c r="D17" s="39" t="n">
        <f aca="false">IF(D6&gt;0,D15/D6,0)</f>
        <v>0.57867592805676</v>
      </c>
    </row>
    <row r="20" customFormat="false" ht="30" hidden="false" customHeight="true" outlineLevel="0" collapsed="false">
      <c r="A20" s="40" t="s">
        <v>167</v>
      </c>
      <c r="B20" s="40"/>
      <c r="C20" s="40"/>
      <c r="D20" s="40"/>
    </row>
    <row r="21" customFormat="false" ht="15" hidden="false" customHeight="false" outlineLevel="0" collapsed="false">
      <c r="A21" s="40"/>
      <c r="B21" s="40"/>
      <c r="C21" s="40"/>
      <c r="D21" s="40"/>
    </row>
  </sheetData>
  <mergeCells count="1">
    <mergeCell ref="A20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12" t="s">
        <v>170</v>
      </c>
      <c r="B4" s="13"/>
      <c r="C4" s="13"/>
    </row>
    <row r="5" customFormat="false" ht="15" hidden="false" customHeight="false" outlineLevel="0" collapsed="false">
      <c r="A5" s="22" t="s">
        <v>63</v>
      </c>
      <c r="B5" s="22" t="s">
        <v>171</v>
      </c>
      <c r="C5" s="22" t="s">
        <v>172</v>
      </c>
    </row>
    <row r="6" customFormat="false" ht="15" hidden="false" customHeight="false" outlineLevel="0" collapsed="false">
      <c r="A6" s="5" t="s">
        <v>173</v>
      </c>
      <c r="B6" s="14" t="n">
        <v>56019787</v>
      </c>
      <c r="C6" s="14" t="n">
        <v>4260</v>
      </c>
    </row>
    <row r="7" customFormat="false" ht="15" hidden="false" customHeight="false" outlineLevel="0" collapsed="false">
      <c r="A7" s="5" t="s">
        <v>174</v>
      </c>
      <c r="B7" s="14" t="n">
        <v>1013257</v>
      </c>
      <c r="C7" s="14" t="n">
        <v>2025</v>
      </c>
    </row>
    <row r="8" customFormat="false" ht="15" hidden="false" customHeight="false" outlineLevel="0" collapsed="false">
      <c r="A8" s="5" t="s">
        <v>175</v>
      </c>
      <c r="B8" s="14" t="n">
        <v>55006530</v>
      </c>
      <c r="C8" s="14" t="n">
        <v>2235</v>
      </c>
    </row>
    <row r="9" customFormat="false" ht="15" hidden="false" customHeight="false" outlineLevel="0" collapsed="false">
      <c r="A9" s="5" t="s">
        <v>176</v>
      </c>
      <c r="B9" s="14" t="n">
        <v>46561590</v>
      </c>
      <c r="C9" s="14" t="n">
        <v>1996</v>
      </c>
    </row>
    <row r="10" customFormat="false" ht="15" hidden="false" customHeight="false" outlineLevel="0" collapsed="false">
      <c r="A10" s="5" t="s">
        <v>177</v>
      </c>
      <c r="B10" s="14" t="n">
        <v>8444940</v>
      </c>
      <c r="C10" s="14" t="n">
        <v>239</v>
      </c>
    </row>
    <row r="12" customFormat="false" ht="15" hidden="false" customHeight="false" outlineLevel="0" collapsed="false">
      <c r="A12" s="12" t="s">
        <v>178</v>
      </c>
    </row>
    <row r="13" customFormat="false" ht="15" hidden="false" customHeight="false" outlineLevel="0" collapsed="false">
      <c r="A13" s="20" t="s">
        <v>179</v>
      </c>
    </row>
    <row r="14" customFormat="false" ht="15" hidden="false" customHeight="false" outlineLevel="0" collapsed="false">
      <c r="A14" s="22" t="s">
        <v>180</v>
      </c>
      <c r="B14" s="22" t="s">
        <v>181</v>
      </c>
      <c r="C14" s="22" t="s">
        <v>182</v>
      </c>
      <c r="D14" s="22" t="s">
        <v>183</v>
      </c>
      <c r="E14" s="22" t="s">
        <v>184</v>
      </c>
      <c r="F14" s="22" t="s">
        <v>185</v>
      </c>
      <c r="G14" s="22" t="s">
        <v>186</v>
      </c>
      <c r="H14" s="22" t="s">
        <v>187</v>
      </c>
      <c r="I14" s="22" t="s">
        <v>188</v>
      </c>
      <c r="J14" s="22" t="s">
        <v>113</v>
      </c>
    </row>
    <row r="15" customFormat="false" ht="15" hidden="false" customHeight="false" outlineLevel="0" collapsed="false">
      <c r="A15" s="5" t="s">
        <v>64</v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14</v>
      </c>
      <c r="G15" s="14" t="n">
        <v>85</v>
      </c>
      <c r="H15" s="14" t="n">
        <v>55</v>
      </c>
      <c r="I15" s="14" t="n">
        <v>16</v>
      </c>
      <c r="J15" s="31" t="n">
        <f aca="false">SUM(B15:I15)</f>
        <v>170</v>
      </c>
    </row>
    <row r="16" customFormat="false" ht="15" hidden="false" customHeight="false" outlineLevel="0" collapsed="false">
      <c r="A16" s="5" t="s">
        <v>189</v>
      </c>
      <c r="B16" s="14" t="n">
        <v>1</v>
      </c>
      <c r="C16" s="14" t="n">
        <v>22</v>
      </c>
      <c r="D16" s="14" t="n">
        <v>65</v>
      </c>
      <c r="E16" s="14" t="n">
        <v>107</v>
      </c>
      <c r="F16" s="14" t="n">
        <v>126</v>
      </c>
      <c r="G16" s="14" t="n">
        <v>103</v>
      </c>
      <c r="H16" s="14" t="n">
        <v>27</v>
      </c>
      <c r="I16" s="14" t="n">
        <v>3</v>
      </c>
      <c r="J16" s="31" t="n">
        <f aca="false">SUM(B16:I16)</f>
        <v>454</v>
      </c>
    </row>
    <row r="17" customFormat="false" ht="15" hidden="false" customHeight="false" outlineLevel="0" collapsed="false">
      <c r="A17" s="5" t="s">
        <v>190</v>
      </c>
      <c r="B17" s="14" t="n">
        <v>1</v>
      </c>
      <c r="C17" s="14" t="n">
        <v>5</v>
      </c>
      <c r="D17" s="14" t="n">
        <v>15</v>
      </c>
      <c r="E17" s="14" t="n">
        <v>18</v>
      </c>
      <c r="F17" s="14" t="n">
        <v>9</v>
      </c>
      <c r="G17" s="14" t="n">
        <v>25</v>
      </c>
      <c r="H17" s="14" t="n">
        <v>43</v>
      </c>
      <c r="I17" s="14" t="n">
        <v>17</v>
      </c>
      <c r="J17" s="31" t="n">
        <f aca="false">SUM(B17:I17)</f>
        <v>133</v>
      </c>
    </row>
    <row r="18" customFormat="false" ht="15" hidden="false" customHeight="false" outlineLevel="0" collapsed="false">
      <c r="A18" s="5" t="s">
        <v>65</v>
      </c>
      <c r="B18" s="14" t="n">
        <v>0</v>
      </c>
      <c r="C18" s="14" t="n">
        <v>0</v>
      </c>
      <c r="D18" s="14" t="n">
        <v>86</v>
      </c>
      <c r="E18" s="14" t="n">
        <v>152</v>
      </c>
      <c r="F18" s="14" t="n">
        <v>147</v>
      </c>
      <c r="G18" s="14" t="n">
        <v>79</v>
      </c>
      <c r="H18" s="14" t="n">
        <v>98</v>
      </c>
      <c r="I18" s="14" t="n">
        <v>0</v>
      </c>
      <c r="J18" s="31" t="n">
        <f aca="false">SUM(B18:I18)</f>
        <v>562</v>
      </c>
    </row>
    <row r="19" customFormat="false" ht="15" hidden="false" customHeight="false" outlineLevel="0" collapsed="false">
      <c r="A19" s="5" t="s">
        <v>191</v>
      </c>
      <c r="B19" s="14" t="n">
        <v>6</v>
      </c>
      <c r="C19" s="14" t="n">
        <v>199</v>
      </c>
      <c r="D19" s="14" t="n">
        <v>97</v>
      </c>
      <c r="E19" s="14" t="n">
        <v>153</v>
      </c>
      <c r="F19" s="14" t="n">
        <v>68</v>
      </c>
      <c r="G19" s="14" t="n">
        <v>50</v>
      </c>
      <c r="H19" s="14" t="n">
        <v>94</v>
      </c>
      <c r="I19" s="14" t="n">
        <v>27</v>
      </c>
      <c r="J19" s="31" t="n">
        <f aca="false">SUM(B19:I19)</f>
        <v>694</v>
      </c>
    </row>
    <row r="20" customFormat="false" ht="15" hidden="false" customHeight="false" outlineLevel="0" collapsed="false">
      <c r="A20" s="5" t="s">
        <v>192</v>
      </c>
      <c r="B20" s="14" t="n">
        <v>0</v>
      </c>
      <c r="C20" s="14" t="n">
        <v>0</v>
      </c>
      <c r="D20" s="14" t="n">
        <v>8</v>
      </c>
      <c r="E20" s="14" t="n">
        <v>20</v>
      </c>
      <c r="F20" s="14" t="n">
        <v>6</v>
      </c>
      <c r="G20" s="14" t="n">
        <v>1</v>
      </c>
      <c r="H20" s="14" t="n">
        <v>2</v>
      </c>
      <c r="I20" s="14" t="n">
        <v>0</v>
      </c>
      <c r="J20" s="31" t="n">
        <f aca="false">SUM(B20:I20)</f>
        <v>37</v>
      </c>
    </row>
    <row r="21" customFormat="false" ht="15" hidden="false" customHeight="false" outlineLevel="0" collapsed="false">
      <c r="A21" s="5" t="s">
        <v>193</v>
      </c>
      <c r="B21" s="14" t="n">
        <v>0</v>
      </c>
      <c r="C21" s="14" t="n">
        <v>0</v>
      </c>
      <c r="D21" s="14" t="n">
        <v>1</v>
      </c>
      <c r="E21" s="14" t="n">
        <v>5</v>
      </c>
      <c r="F21" s="14" t="n">
        <v>3</v>
      </c>
      <c r="G21" s="14" t="n">
        <v>4</v>
      </c>
      <c r="H21" s="14" t="n">
        <v>0</v>
      </c>
      <c r="I21" s="14" t="n">
        <v>0</v>
      </c>
      <c r="J21" s="31" t="n">
        <f aca="false">SUM(B21:I21)</f>
        <v>13</v>
      </c>
    </row>
    <row r="22" customFormat="false" ht="15" hidden="false" customHeight="false" outlineLevel="0" collapsed="false">
      <c r="A22" s="5" t="s">
        <v>194</v>
      </c>
      <c r="B22" s="14" t="n">
        <v>0</v>
      </c>
      <c r="C22" s="14" t="n">
        <v>0</v>
      </c>
      <c r="D22" s="14" t="n">
        <v>21</v>
      </c>
      <c r="E22" s="14" t="n">
        <v>24</v>
      </c>
      <c r="F22" s="14" t="n">
        <v>1</v>
      </c>
      <c r="G22" s="14" t="n">
        <v>0</v>
      </c>
      <c r="H22" s="14" t="n">
        <v>2</v>
      </c>
      <c r="I22" s="14" t="n">
        <v>0</v>
      </c>
      <c r="J22" s="31" t="n">
        <f aca="false">SUM(B22:I22)</f>
        <v>48</v>
      </c>
    </row>
    <row r="23" customFormat="false" ht="15" hidden="false" customHeight="false" outlineLevel="0" collapsed="false">
      <c r="A23" s="37" t="s">
        <v>113</v>
      </c>
      <c r="B23" s="28" t="n">
        <f aca="false">SUM(B15:B22)</f>
        <v>8</v>
      </c>
      <c r="C23" s="28" t="n">
        <f aca="false">SUM(C15:C22)</f>
        <v>226</v>
      </c>
      <c r="D23" s="28" t="n">
        <f aca="false">SUM(D15:D22)</f>
        <v>293</v>
      </c>
      <c r="E23" s="28" t="n">
        <f aca="false">SUM(E15:E22)</f>
        <v>479</v>
      </c>
      <c r="F23" s="28" t="n">
        <f aca="false">SUM(F15:F22)</f>
        <v>374</v>
      </c>
      <c r="G23" s="28" t="n">
        <f aca="false">SUM(G15:G22)</f>
        <v>347</v>
      </c>
      <c r="H23" s="28" t="n">
        <f aca="false">SUM(H15:H22)</f>
        <v>321</v>
      </c>
      <c r="I23" s="28" t="n">
        <f aca="false">SUM(I15:I22)</f>
        <v>63</v>
      </c>
      <c r="J23" s="28" t="n">
        <f aca="false">SUM(J15:J22)</f>
        <v>2111</v>
      </c>
    </row>
    <row r="25" customFormat="false" ht="15" hidden="false" customHeight="false" outlineLevel="0" collapsed="false">
      <c r="A25" s="20" t="s">
        <v>195</v>
      </c>
    </row>
    <row r="26" customFormat="false" ht="15" hidden="false" customHeight="false" outlineLevel="0" collapsed="false">
      <c r="A26" s="22" t="s">
        <v>180</v>
      </c>
      <c r="B26" s="22" t="s">
        <v>181</v>
      </c>
      <c r="C26" s="22" t="s">
        <v>182</v>
      </c>
      <c r="D26" s="22" t="s">
        <v>183</v>
      </c>
      <c r="E26" s="22" t="s">
        <v>184</v>
      </c>
      <c r="F26" s="22" t="s">
        <v>185</v>
      </c>
      <c r="G26" s="22" t="s">
        <v>186</v>
      </c>
      <c r="H26" s="22" t="s">
        <v>187</v>
      </c>
      <c r="I26" s="22" t="s">
        <v>188</v>
      </c>
      <c r="J26" s="22" t="s">
        <v>113</v>
      </c>
    </row>
    <row r="27" customFormat="false" ht="15" hidden="false" customHeight="false" outlineLevel="0" collapsed="false">
      <c r="A27" s="5" t="s">
        <v>64</v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1449410</v>
      </c>
      <c r="G27" s="14" t="n">
        <v>9349150</v>
      </c>
      <c r="H27" s="14" t="n">
        <v>6159450</v>
      </c>
      <c r="I27" s="14" t="n">
        <v>1999300</v>
      </c>
      <c r="J27" s="31" t="n">
        <f aca="false">SUM(B27:I27)</f>
        <v>18957310</v>
      </c>
    </row>
    <row r="28" customFormat="false" ht="15" hidden="false" customHeight="false" outlineLevel="0" collapsed="false">
      <c r="A28" s="5" t="s">
        <v>189</v>
      </c>
      <c r="B28" s="14" t="n">
        <v>14990</v>
      </c>
      <c r="C28" s="14" t="n">
        <v>329780</v>
      </c>
      <c r="D28" s="14" t="n">
        <v>1013350</v>
      </c>
      <c r="E28" s="14" t="n">
        <v>1644570</v>
      </c>
      <c r="F28" s="14" t="n">
        <v>1824740</v>
      </c>
      <c r="G28" s="14" t="n">
        <v>1544970</v>
      </c>
      <c r="H28" s="14" t="n">
        <v>461730</v>
      </c>
      <c r="I28" s="14" t="n">
        <v>53970</v>
      </c>
      <c r="J28" s="31" t="n">
        <f aca="false">SUM(B28:I28)</f>
        <v>6888100</v>
      </c>
    </row>
    <row r="29" customFormat="false" ht="15" hidden="false" customHeight="false" outlineLevel="0" collapsed="false">
      <c r="A29" s="5" t="s">
        <v>190</v>
      </c>
      <c r="B29" s="14" t="n">
        <v>9990</v>
      </c>
      <c r="C29" s="14" t="n">
        <v>49950</v>
      </c>
      <c r="D29" s="14" t="n">
        <v>149850</v>
      </c>
      <c r="E29" s="14" t="n">
        <v>179820</v>
      </c>
      <c r="F29" s="14" t="n">
        <v>89910</v>
      </c>
      <c r="G29" s="14" t="n">
        <v>249750</v>
      </c>
      <c r="H29" s="14" t="n">
        <v>429570</v>
      </c>
      <c r="I29" s="14" t="n">
        <v>169830</v>
      </c>
      <c r="J29" s="31" t="n">
        <f aca="false">SUM(B29:I29)</f>
        <v>1328670</v>
      </c>
    </row>
    <row r="30" customFormat="false" ht="15" hidden="false" customHeight="false" outlineLevel="0" collapsed="false">
      <c r="A30" s="5" t="s">
        <v>65</v>
      </c>
      <c r="B30" s="14" t="n">
        <v>0</v>
      </c>
      <c r="C30" s="14" t="n">
        <v>0</v>
      </c>
      <c r="D30" s="14" t="n">
        <v>859140</v>
      </c>
      <c r="E30" s="14" t="n">
        <v>1542480</v>
      </c>
      <c r="F30" s="14" t="n">
        <v>1468530</v>
      </c>
      <c r="G30" s="14" t="n">
        <v>1036210</v>
      </c>
      <c r="H30" s="14" t="n">
        <v>1469020</v>
      </c>
      <c r="I30" s="14" t="n">
        <v>0</v>
      </c>
      <c r="J30" s="31" t="n">
        <f aca="false">SUM(B30:I30)</f>
        <v>6375380</v>
      </c>
    </row>
    <row r="31" customFormat="false" ht="15" hidden="false" customHeight="false" outlineLevel="0" collapsed="false">
      <c r="A31" s="5" t="s">
        <v>191</v>
      </c>
      <c r="B31" s="14" t="n">
        <v>89940</v>
      </c>
      <c r="C31" s="14" t="n">
        <v>2983010</v>
      </c>
      <c r="D31" s="14" t="n">
        <v>1468030</v>
      </c>
      <c r="E31" s="14" t="n">
        <v>2044270</v>
      </c>
      <c r="F31" s="14" t="n">
        <v>941820</v>
      </c>
      <c r="G31" s="14" t="n">
        <v>749500</v>
      </c>
      <c r="H31" s="14" t="n">
        <v>1421060</v>
      </c>
      <c r="I31" s="14" t="n">
        <v>419730</v>
      </c>
      <c r="J31" s="31" t="n">
        <f aca="false">SUM(B31:I31)</f>
        <v>10117360</v>
      </c>
    </row>
    <row r="32" customFormat="false" ht="15" hidden="false" customHeight="false" outlineLevel="0" collapsed="false">
      <c r="A32" s="5" t="s">
        <v>192</v>
      </c>
      <c r="B32" s="14" t="n">
        <v>0</v>
      </c>
      <c r="C32" s="14" t="n">
        <v>0</v>
      </c>
      <c r="D32" s="14" t="n">
        <v>239920</v>
      </c>
      <c r="E32" s="14" t="n">
        <v>603090</v>
      </c>
      <c r="F32" s="14" t="n">
        <v>179400</v>
      </c>
      <c r="G32" s="14" t="n">
        <v>44990</v>
      </c>
      <c r="H32" s="14" t="n">
        <v>89980</v>
      </c>
      <c r="I32" s="14" t="n">
        <v>0</v>
      </c>
      <c r="J32" s="31" t="n">
        <f aca="false">SUM(B32:I32)</f>
        <v>1157380</v>
      </c>
    </row>
    <row r="33" customFormat="false" ht="15" hidden="false" customHeight="false" outlineLevel="0" collapsed="false">
      <c r="A33" s="5" t="s">
        <v>193</v>
      </c>
      <c r="B33" s="14" t="n">
        <v>0</v>
      </c>
      <c r="C33" s="14" t="n">
        <v>0</v>
      </c>
      <c r="D33" s="14" t="n">
        <v>29990</v>
      </c>
      <c r="E33" s="14" t="n">
        <v>149950</v>
      </c>
      <c r="F33" s="14" t="n">
        <v>85970</v>
      </c>
      <c r="G33" s="14" t="n">
        <v>111960</v>
      </c>
      <c r="H33" s="14" t="n">
        <v>0</v>
      </c>
      <c r="I33" s="14" t="n">
        <v>0</v>
      </c>
      <c r="J33" s="31" t="n">
        <f aca="false">SUM(B33:I33)</f>
        <v>377870</v>
      </c>
    </row>
    <row r="34" customFormat="false" ht="15" hidden="false" customHeight="false" outlineLevel="0" collapsed="false">
      <c r="A34" s="5" t="s">
        <v>194</v>
      </c>
      <c r="B34" s="14" t="n">
        <v>0</v>
      </c>
      <c r="C34" s="14" t="n">
        <v>0</v>
      </c>
      <c r="D34" s="14" t="n">
        <v>587790</v>
      </c>
      <c r="E34" s="14" t="n">
        <v>687760</v>
      </c>
      <c r="F34" s="14" t="n">
        <v>27990</v>
      </c>
      <c r="G34" s="14" t="n">
        <v>0</v>
      </c>
      <c r="H34" s="14" t="n">
        <v>55980</v>
      </c>
      <c r="I34" s="14" t="n">
        <v>0</v>
      </c>
      <c r="J34" s="31" t="n">
        <f aca="false">SUM(B34:I34)</f>
        <v>1359520</v>
      </c>
    </row>
    <row r="35" customFormat="false" ht="15" hidden="false" customHeight="false" outlineLevel="0" collapsed="false">
      <c r="A35" s="37" t="s">
        <v>113</v>
      </c>
      <c r="B35" s="28" t="n">
        <f aca="false">SUM(B27:B34)</f>
        <v>114920</v>
      </c>
      <c r="C35" s="28" t="n">
        <f aca="false">SUM(C27:C34)</f>
        <v>3362740</v>
      </c>
      <c r="D35" s="28" t="n">
        <f aca="false">SUM(D27:D34)</f>
        <v>4348070</v>
      </c>
      <c r="E35" s="28" t="n">
        <f aca="false">SUM(E27:E34)</f>
        <v>6851940</v>
      </c>
      <c r="F35" s="28" t="n">
        <f aca="false">SUM(F27:F34)</f>
        <v>6067770</v>
      </c>
      <c r="G35" s="28" t="n">
        <f aca="false">SUM(G27:G34)</f>
        <v>13086530</v>
      </c>
      <c r="H35" s="28" t="n">
        <f aca="false">SUM(H27:H34)</f>
        <v>10086790</v>
      </c>
      <c r="I35" s="28" t="n">
        <f aca="false">SUM(I27:I34)</f>
        <v>2642830</v>
      </c>
      <c r="J35" s="28" t="n">
        <f aca="false">SUM(J27:J34)</f>
        <v>46561590</v>
      </c>
    </row>
    <row r="37" customFormat="false" ht="15" hidden="false" customHeight="false" outlineLevel="0" collapsed="false">
      <c r="A37" s="12" t="s">
        <v>196</v>
      </c>
    </row>
    <row r="38" customFormat="false" ht="46.25" hidden="false" customHeight="false" outlineLevel="0" collapsed="false">
      <c r="A38" s="22" t="s">
        <v>180</v>
      </c>
      <c r="B38" s="22" t="s">
        <v>197</v>
      </c>
      <c r="C38" s="22" t="s">
        <v>198</v>
      </c>
      <c r="D38" s="22" t="s">
        <v>199</v>
      </c>
      <c r="E38" s="22" t="s">
        <v>200</v>
      </c>
      <c r="F38" s="22" t="s">
        <v>201</v>
      </c>
      <c r="G38" s="22" t="s">
        <v>202</v>
      </c>
    </row>
    <row r="39" customFormat="false" ht="15" hidden="false" customHeight="false" outlineLevel="0" collapsed="false">
      <c r="A39" s="5" t="s">
        <v>64</v>
      </c>
      <c r="B39" s="14" t="n">
        <v>170</v>
      </c>
      <c r="C39" s="14" t="n">
        <v>111514</v>
      </c>
      <c r="D39" s="14" t="n">
        <v>1931</v>
      </c>
      <c r="E39" s="17" t="n">
        <v>0.125</v>
      </c>
      <c r="F39" s="17" t="n">
        <v>0.025</v>
      </c>
      <c r="G39" s="17" t="n">
        <v>0.758823529411765</v>
      </c>
    </row>
    <row r="40" customFormat="false" ht="15" hidden="false" customHeight="false" outlineLevel="0" collapsed="false">
      <c r="A40" s="5" t="s">
        <v>189</v>
      </c>
      <c r="B40" s="14" t="n">
        <v>454</v>
      </c>
      <c r="C40" s="14" t="n">
        <v>15172</v>
      </c>
      <c r="D40" s="14" t="n">
        <v>1497</v>
      </c>
      <c r="E40" s="17" t="n">
        <v>0.0625</v>
      </c>
      <c r="F40" s="17" t="n">
        <v>0.0262096774193548</v>
      </c>
      <c r="G40" s="17" t="n">
        <v>0.369469026548673</v>
      </c>
    </row>
    <row r="41" customFormat="false" ht="15" hidden="false" customHeight="false" outlineLevel="0" collapsed="false">
      <c r="A41" s="5" t="s">
        <v>190</v>
      </c>
      <c r="B41" s="14" t="n">
        <v>133</v>
      </c>
      <c r="C41" s="14" t="n">
        <v>9990</v>
      </c>
      <c r="D41" s="14" t="n">
        <v>909</v>
      </c>
      <c r="E41" s="17" t="n">
        <v>0.0492957746478873</v>
      </c>
      <c r="F41" s="17" t="n">
        <v>0.0140845070422535</v>
      </c>
      <c r="G41" s="17" t="n">
        <v>0.285714285714286</v>
      </c>
    </row>
    <row r="42" customFormat="false" ht="15" hidden="false" customHeight="false" outlineLevel="0" collapsed="false">
      <c r="A42" s="5" t="s">
        <v>65</v>
      </c>
      <c r="B42" s="14" t="n">
        <v>562</v>
      </c>
      <c r="C42" s="14" t="n">
        <v>11344</v>
      </c>
      <c r="D42" s="14" t="n">
        <v>998</v>
      </c>
      <c r="E42" s="17" t="n">
        <v>0.0722222222222222</v>
      </c>
      <c r="F42" s="17" t="n">
        <v>0.0037037037037037</v>
      </c>
      <c r="G42" s="17" t="n">
        <v>0.282565130260521</v>
      </c>
    </row>
    <row r="43" customFormat="false" ht="15" hidden="false" customHeight="false" outlineLevel="0" collapsed="false">
      <c r="A43" s="5" t="s">
        <v>191</v>
      </c>
      <c r="B43" s="14" t="n">
        <v>694</v>
      </c>
      <c r="C43" s="14" t="n">
        <v>14578</v>
      </c>
      <c r="D43" s="14" t="n">
        <v>1377</v>
      </c>
      <c r="E43" s="17" t="n">
        <v>0.0770328102710414</v>
      </c>
      <c r="F43" s="17" t="n">
        <v>0.0014265335235378</v>
      </c>
      <c r="G43" s="17" t="n">
        <v>0.273993808049536</v>
      </c>
    </row>
    <row r="44" customFormat="false" ht="15" hidden="false" customHeight="false" outlineLevel="0" collapsed="false">
      <c r="A44" s="5" t="s">
        <v>192</v>
      </c>
      <c r="B44" s="14" t="n">
        <v>37</v>
      </c>
      <c r="C44" s="14" t="n">
        <v>31281</v>
      </c>
      <c r="D44" s="14" t="n">
        <v>1435</v>
      </c>
      <c r="E44" s="17" t="n">
        <v>0.1</v>
      </c>
      <c r="F44" s="17" t="n">
        <v>0</v>
      </c>
      <c r="G44" s="17" t="n">
        <v>0.638888888888889</v>
      </c>
    </row>
    <row r="45" customFormat="false" ht="15" hidden="false" customHeight="false" outlineLevel="0" collapsed="false">
      <c r="A45" s="5" t="s">
        <v>193</v>
      </c>
      <c r="B45" s="14" t="n">
        <v>13</v>
      </c>
      <c r="C45" s="14" t="n">
        <v>29067</v>
      </c>
      <c r="D45" s="14" t="n">
        <v>1453</v>
      </c>
      <c r="E45" s="17" t="n">
        <v>0.0714285714285714</v>
      </c>
      <c r="F45" s="17" t="n">
        <v>0</v>
      </c>
      <c r="G45" s="17" t="n">
        <v>0.461538461538462</v>
      </c>
    </row>
    <row r="46" customFormat="false" ht="15" hidden="false" customHeight="false" outlineLevel="0" collapsed="false">
      <c r="A46" s="5" t="s">
        <v>194</v>
      </c>
      <c r="B46" s="14" t="n">
        <v>48</v>
      </c>
      <c r="C46" s="14" t="n">
        <v>28323</v>
      </c>
      <c r="D46" s="14" t="n">
        <v>1880</v>
      </c>
      <c r="E46" s="17" t="n">
        <v>0.140350877192982</v>
      </c>
      <c r="F46" s="17" t="n">
        <v>0.0350877192982456</v>
      </c>
      <c r="G46" s="17" t="n">
        <v>0.531914893617021</v>
      </c>
    </row>
    <row r="48" customFormat="false" ht="15" hidden="false" customHeight="false" outlineLevel="0" collapsed="false">
      <c r="A48" s="12" t="s">
        <v>203</v>
      </c>
    </row>
    <row r="49" customFormat="false" ht="15" hidden="false" customHeight="false" outlineLevel="0" collapsed="false">
      <c r="A49" s="5" t="s">
        <v>204</v>
      </c>
      <c r="B49" s="17" t="n">
        <v>0.225450901803607</v>
      </c>
    </row>
    <row r="50" customFormat="false" ht="15" hidden="false" customHeight="false" outlineLevel="0" collapsed="false">
      <c r="A50" s="5" t="s">
        <v>205</v>
      </c>
      <c r="B50" s="17" t="n">
        <v>0.186372745490982</v>
      </c>
    </row>
    <row r="51" customFormat="false" ht="15" hidden="false" customHeight="false" outlineLevel="0" collapsed="false">
      <c r="A51" s="5" t="s">
        <v>206</v>
      </c>
      <c r="B51" s="17" t="n">
        <v>0.0516032064128257</v>
      </c>
    </row>
    <row r="52" customFormat="false" ht="15" hidden="false" customHeight="false" outlineLevel="0" collapsed="false">
      <c r="A52" s="5" t="s">
        <v>207</v>
      </c>
      <c r="B52" s="17" t="n">
        <v>0.0415831663326653</v>
      </c>
    </row>
    <row r="53" customFormat="false" ht="15" hidden="false" customHeight="false" outlineLevel="0" collapsed="false">
      <c r="A53" s="5" t="s">
        <v>208</v>
      </c>
      <c r="B53" s="17" t="n">
        <v>0.0285571142284569</v>
      </c>
    </row>
    <row r="54" customFormat="false" ht="15" hidden="false" customHeight="false" outlineLevel="0" collapsed="false">
      <c r="A54" s="5" t="s">
        <v>209</v>
      </c>
      <c r="B54" s="17" t="n">
        <v>0.0280561122244489</v>
      </c>
    </row>
    <row r="55" customFormat="false" ht="15" hidden="false" customHeight="false" outlineLevel="0" collapsed="false">
      <c r="A55" s="5" t="s">
        <v>210</v>
      </c>
      <c r="B55" s="17" t="n">
        <v>0.438376753507014</v>
      </c>
    </row>
    <row r="57" customFormat="false" ht="15" hidden="false" customHeight="false" outlineLevel="0" collapsed="false">
      <c r="A57" s="20" t="s">
        <v>211</v>
      </c>
    </row>
    <row r="58" customFormat="false" ht="15" hidden="false" customHeight="false" outlineLevel="0" collapsed="false">
      <c r="A58" s="5" t="s">
        <v>212</v>
      </c>
    </row>
    <row r="59" customFormat="false" ht="15" hidden="false" customHeight="false" outlineLevel="0" collapsed="false">
      <c r="A59" s="5" t="s">
        <v>213</v>
      </c>
    </row>
    <row r="60" customFormat="false" ht="15" hidden="false" customHeight="false" outlineLevel="0" collapsed="false">
      <c r="A60" s="5" t="s">
        <v>214</v>
      </c>
    </row>
    <row r="61" customFormat="false" ht="15" hidden="false" customHeight="false" outlineLevel="0" collapsed="false">
      <c r="A61" s="5" t="s">
        <v>215</v>
      </c>
    </row>
    <row r="62" customFormat="false" ht="15" hidden="false" customHeight="false" outlineLevel="0" collapsed="false">
      <c r="A62" s="5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23.85" hidden="false" customHeight="false" outlineLevel="0" collapsed="false">
      <c r="A4" s="22" t="s">
        <v>219</v>
      </c>
      <c r="B4" s="22" t="s">
        <v>220</v>
      </c>
      <c r="C4" s="22" t="s">
        <v>221</v>
      </c>
      <c r="D4" s="22" t="s">
        <v>222</v>
      </c>
      <c r="E4" s="22" t="s">
        <v>223</v>
      </c>
      <c r="F4" s="22" t="s">
        <v>224</v>
      </c>
      <c r="G4" s="22" t="s">
        <v>225</v>
      </c>
    </row>
    <row r="5" customFormat="false" ht="15" hidden="false" customHeight="false" outlineLevel="0" collapsed="false">
      <c r="A5" s="41" t="n">
        <v>1</v>
      </c>
      <c r="B5" s="42" t="s">
        <v>226</v>
      </c>
      <c r="C5" s="27" t="n">
        <f aca="false">'План и ДДС'!D51</f>
        <v>9000000</v>
      </c>
      <c r="D5" s="27" t="n">
        <f aca="false">'План и ДДС'!D52</f>
        <v>360000</v>
      </c>
      <c r="E5" s="27" t="n">
        <f aca="false">'План и ДДС'!D53</f>
        <v>0</v>
      </c>
      <c r="F5" s="31" t="n">
        <f aca="false">D5+E5</f>
        <v>360000</v>
      </c>
      <c r="G5" s="30" t="n">
        <f aca="false">C5-E5</f>
        <v>9000000</v>
      </c>
    </row>
    <row r="6" customFormat="false" ht="15" hidden="false" customHeight="false" outlineLevel="0" collapsed="false">
      <c r="A6" s="41" t="n">
        <v>2</v>
      </c>
      <c r="B6" s="42" t="s">
        <v>227</v>
      </c>
      <c r="C6" s="27" t="n">
        <f aca="false">'План и ДДС'!E51</f>
        <v>9000000</v>
      </c>
      <c r="D6" s="27" t="n">
        <f aca="false">'План и ДДС'!E52</f>
        <v>360000</v>
      </c>
      <c r="E6" s="27" t="n">
        <f aca="false">'План и ДДС'!E53</f>
        <v>0</v>
      </c>
      <c r="F6" s="31" t="n">
        <f aca="false">D6+E6</f>
        <v>360000</v>
      </c>
      <c r="G6" s="30" t="n">
        <f aca="false">C6-E6</f>
        <v>9000000</v>
      </c>
    </row>
    <row r="7" customFormat="false" ht="15" hidden="false" customHeight="false" outlineLevel="0" collapsed="false">
      <c r="A7" s="41" t="n">
        <v>3</v>
      </c>
      <c r="B7" s="42" t="s">
        <v>228</v>
      </c>
      <c r="C7" s="27" t="n">
        <f aca="false">'План и ДДС'!F51</f>
        <v>9000000</v>
      </c>
      <c r="D7" s="27" t="n">
        <f aca="false">'План и ДДС'!F52</f>
        <v>360000</v>
      </c>
      <c r="E7" s="27" t="n">
        <f aca="false">'План и ДДС'!F53</f>
        <v>0</v>
      </c>
      <c r="F7" s="31" t="n">
        <f aca="false">D7+E7</f>
        <v>360000</v>
      </c>
      <c r="G7" s="30" t="n">
        <f aca="false">C7-E7</f>
        <v>9000000</v>
      </c>
    </row>
    <row r="8" customFormat="false" ht="15" hidden="false" customHeight="false" outlineLevel="0" collapsed="false">
      <c r="A8" s="41" t="n">
        <v>4</v>
      </c>
      <c r="B8" s="42" t="s">
        <v>229</v>
      </c>
      <c r="C8" s="27" t="n">
        <f aca="false">'План и ДДС'!G51</f>
        <v>9000000</v>
      </c>
      <c r="D8" s="27" t="n">
        <f aca="false">'План и ДДС'!G52</f>
        <v>360000</v>
      </c>
      <c r="E8" s="27" t="n">
        <f aca="false">'План и ДДС'!G53</f>
        <v>0</v>
      </c>
      <c r="F8" s="31" t="n">
        <f aca="false">D8+E8</f>
        <v>360000</v>
      </c>
      <c r="G8" s="30" t="n">
        <f aca="false">C8-E8</f>
        <v>9000000</v>
      </c>
    </row>
    <row r="9" customFormat="false" ht="15" hidden="false" customHeight="false" outlineLevel="0" collapsed="false">
      <c r="A9" s="41" t="n">
        <v>5</v>
      </c>
      <c r="B9" s="42" t="s">
        <v>230</v>
      </c>
      <c r="C9" s="27" t="n">
        <f aca="false">'План и ДДС'!H51</f>
        <v>9000000</v>
      </c>
      <c r="D9" s="27" t="n">
        <f aca="false">'План и ДДС'!H52</f>
        <v>360000</v>
      </c>
      <c r="E9" s="27" t="n">
        <f aca="false">'План и ДДС'!H53</f>
        <v>0</v>
      </c>
      <c r="F9" s="31" t="n">
        <f aca="false">D9+E9</f>
        <v>360000</v>
      </c>
      <c r="G9" s="30" t="n">
        <f aca="false">C9-E9</f>
        <v>9000000</v>
      </c>
    </row>
    <row r="10" customFormat="false" ht="15" hidden="false" customHeight="false" outlineLevel="0" collapsed="false">
      <c r="A10" s="41" t="n">
        <v>6</v>
      </c>
      <c r="B10" s="42" t="s">
        <v>231</v>
      </c>
      <c r="C10" s="27" t="n">
        <f aca="false">'План и ДДС'!I51</f>
        <v>9000000</v>
      </c>
      <c r="D10" s="27" t="n">
        <f aca="false">'План и ДДС'!I52</f>
        <v>360000</v>
      </c>
      <c r="E10" s="27" t="n">
        <f aca="false">'План и ДДС'!I53</f>
        <v>0</v>
      </c>
      <c r="F10" s="31" t="n">
        <f aca="false">D10+E10</f>
        <v>360000</v>
      </c>
      <c r="G10" s="30" t="n">
        <f aca="false">C10-E10</f>
        <v>9000000</v>
      </c>
    </row>
    <row r="11" customFormat="false" ht="15" hidden="false" customHeight="false" outlineLevel="0" collapsed="false">
      <c r="A11" s="41" t="n">
        <v>7</v>
      </c>
      <c r="B11" s="42" t="s">
        <v>232</v>
      </c>
      <c r="C11" s="27" t="n">
        <f aca="false">'План и ДДС'!J51</f>
        <v>9000000</v>
      </c>
      <c r="D11" s="27" t="n">
        <f aca="false">'План и ДДС'!J52</f>
        <v>360000</v>
      </c>
      <c r="E11" s="27" t="n">
        <f aca="false">'План и ДДС'!J53</f>
        <v>0</v>
      </c>
      <c r="F11" s="31" t="n">
        <f aca="false">D11+E11</f>
        <v>360000</v>
      </c>
      <c r="G11" s="30" t="n">
        <f aca="false">C11-E11</f>
        <v>9000000</v>
      </c>
    </row>
    <row r="12" customFormat="false" ht="15" hidden="false" customHeight="false" outlineLevel="0" collapsed="false">
      <c r="A12" s="41" t="n">
        <v>8</v>
      </c>
      <c r="B12" s="42" t="s">
        <v>233</v>
      </c>
      <c r="C12" s="27" t="n">
        <f aca="false">'План и ДДС'!K51</f>
        <v>9000000</v>
      </c>
      <c r="D12" s="27" t="n">
        <f aca="false">'План и ДДС'!K52</f>
        <v>360000</v>
      </c>
      <c r="E12" s="27" t="n">
        <f aca="false">'План и ДДС'!K53</f>
        <v>0</v>
      </c>
      <c r="F12" s="31" t="n">
        <f aca="false">D12+E12</f>
        <v>360000</v>
      </c>
      <c r="G12" s="30" t="n">
        <f aca="false">C12-E12</f>
        <v>9000000</v>
      </c>
    </row>
    <row r="13" customFormat="false" ht="15" hidden="false" customHeight="false" outlineLevel="0" collapsed="false">
      <c r="A13" s="41" t="n">
        <v>9</v>
      </c>
      <c r="B13" s="42" t="s">
        <v>234</v>
      </c>
      <c r="C13" s="27" t="n">
        <f aca="false">'План и ДДС'!L51</f>
        <v>9000000</v>
      </c>
      <c r="D13" s="27" t="n">
        <f aca="false">'План и ДДС'!L52</f>
        <v>360000</v>
      </c>
      <c r="E13" s="27" t="n">
        <f aca="false">'План и ДДС'!L53</f>
        <v>0</v>
      </c>
      <c r="F13" s="31" t="n">
        <f aca="false">D13+E13</f>
        <v>360000</v>
      </c>
      <c r="G13" s="30" t="n">
        <f aca="false">C13-E13</f>
        <v>9000000</v>
      </c>
    </row>
    <row r="14" customFormat="false" ht="15" hidden="false" customHeight="false" outlineLevel="0" collapsed="false">
      <c r="A14" s="41" t="n">
        <v>10</v>
      </c>
      <c r="B14" s="42" t="s">
        <v>235</v>
      </c>
      <c r="C14" s="27" t="n">
        <f aca="false">'План и ДДС'!M51</f>
        <v>9000000</v>
      </c>
      <c r="D14" s="27" t="n">
        <f aca="false">'План и ДДС'!M52</f>
        <v>360000</v>
      </c>
      <c r="E14" s="27" t="n">
        <f aca="false">'План и ДДС'!M53</f>
        <v>0</v>
      </c>
      <c r="F14" s="31" t="n">
        <f aca="false">D14+E14</f>
        <v>360000</v>
      </c>
      <c r="G14" s="30" t="n">
        <f aca="false">C14-E14</f>
        <v>9000000</v>
      </c>
    </row>
    <row r="15" customFormat="false" ht="15" hidden="false" customHeight="false" outlineLevel="0" collapsed="false">
      <c r="A15" s="41" t="n">
        <v>11</v>
      </c>
      <c r="B15" s="42" t="s">
        <v>236</v>
      </c>
      <c r="C15" s="27" t="n">
        <f aca="false">'План и ДДС'!N51</f>
        <v>9000000</v>
      </c>
      <c r="D15" s="27" t="n">
        <f aca="false">'План и ДДС'!N52</f>
        <v>360000</v>
      </c>
      <c r="E15" s="27" t="n">
        <f aca="false">'План и ДДС'!N53</f>
        <v>0</v>
      </c>
      <c r="F15" s="31" t="n">
        <f aca="false">D15+E15</f>
        <v>360000</v>
      </c>
      <c r="G15" s="30" t="n">
        <f aca="false">C15-E15</f>
        <v>9000000</v>
      </c>
    </row>
    <row r="16" customFormat="false" ht="15" hidden="false" customHeight="false" outlineLevel="0" collapsed="false">
      <c r="A16" s="41" t="n">
        <v>12</v>
      </c>
      <c r="B16" s="42" t="s">
        <v>237</v>
      </c>
      <c r="C16" s="27" t="n">
        <f aca="false">'План и ДДС'!O51</f>
        <v>9000000</v>
      </c>
      <c r="D16" s="27" t="n">
        <f aca="false">'План и ДДС'!O52</f>
        <v>360000</v>
      </c>
      <c r="E16" s="27" t="n">
        <f aca="false">'План и ДДС'!O53</f>
        <v>9000000</v>
      </c>
      <c r="F16" s="31" t="n">
        <f aca="false">D16+E16</f>
        <v>9360000</v>
      </c>
      <c r="G16" s="30" t="n">
        <f aca="false">C16-E16</f>
        <v>0</v>
      </c>
    </row>
    <row r="17" customFormat="false" ht="15" hidden="false" customHeight="false" outlineLevel="0" collapsed="false">
      <c r="A17" s="37" t="s">
        <v>113</v>
      </c>
      <c r="B17" s="43"/>
      <c r="C17" s="43"/>
      <c r="D17" s="28" t="n">
        <f aca="false">SUM(D5:D16)</f>
        <v>4320000</v>
      </c>
      <c r="E17" s="28" t="n">
        <f aca="false">SUM(E5:E16)</f>
        <v>9000000</v>
      </c>
      <c r="F17" s="28" t="n">
        <f aca="false">SUM(F5:F16)</f>
        <v>13320000</v>
      </c>
      <c r="G17" s="43"/>
    </row>
    <row r="19" customFormat="false" ht="15" hidden="false" customHeight="false" outlineLevel="0" collapsed="false">
      <c r="A19" s="20" t="s">
        <v>238</v>
      </c>
    </row>
    <row r="20" customFormat="false" ht="15" hidden="false" customHeight="false" outlineLevel="0" collapsed="false">
      <c r="A20" s="44" t="s">
        <v>239</v>
      </c>
      <c r="B20" s="44"/>
      <c r="C20" s="31" t="n">
        <f aca="false">Допущения!$B$6+Допущения!$B$7+Допущения!$B$9+Допущения!$B$10</f>
        <v>9000000</v>
      </c>
    </row>
    <row r="21" customFormat="false" ht="15" hidden="false" customHeight="false" outlineLevel="0" collapsed="false">
      <c r="A21" s="44" t="s">
        <v>240</v>
      </c>
      <c r="B21" s="44"/>
      <c r="C21" s="31" t="n">
        <f aca="false">D17</f>
        <v>4320000</v>
      </c>
    </row>
    <row r="22" customFormat="false" ht="15" hidden="false" customHeight="false" outlineLevel="0" collapsed="false">
      <c r="A22" s="44" t="s">
        <v>241</v>
      </c>
      <c r="B22" s="44"/>
      <c r="C22" s="31" t="n">
        <f aca="false">F17</f>
        <v>13320000</v>
      </c>
    </row>
    <row r="23" customFormat="false" ht="15" hidden="false" customHeight="false" outlineLevel="0" collapsed="false">
      <c r="A23" s="44" t="s">
        <v>242</v>
      </c>
      <c r="B23" s="44"/>
      <c r="C23" s="45" t="n">
        <f aca="false">IF(C20&gt;0,C21/C20,0)</f>
        <v>0.48</v>
      </c>
    </row>
    <row r="24" customFormat="false" ht="15" hidden="false" customHeight="false" outlineLevel="0" collapsed="false">
      <c r="A24" s="44" t="s">
        <v>243</v>
      </c>
      <c r="B24" s="44"/>
      <c r="C24" s="45" t="n">
        <f aca="false">Допущения!$B$12*12</f>
        <v>0.48</v>
      </c>
    </row>
    <row r="25" customFormat="false" ht="15" hidden="false" customHeight="false" outlineLevel="0" collapsed="false">
      <c r="A25" s="44" t="s">
        <v>244</v>
      </c>
      <c r="B25" s="44"/>
      <c r="C25" s="45" t="n">
        <f aca="false">(1+Допущения!$B$12)^12-1</f>
        <v>0.601032218567682</v>
      </c>
    </row>
  </sheetData>
  <mergeCells count="6"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31.5" hidden="false" customHeight="true" outlineLevel="0" collapsed="false">
      <c r="A4" s="22" t="s">
        <v>247</v>
      </c>
      <c r="B4" s="22" t="s">
        <v>248</v>
      </c>
      <c r="C4" s="22" t="s">
        <v>249</v>
      </c>
      <c r="D4" s="22" t="s">
        <v>250</v>
      </c>
      <c r="E4" s="22" t="s">
        <v>251</v>
      </c>
      <c r="F4" s="22" t="s">
        <v>252</v>
      </c>
      <c r="G4" s="22" t="s">
        <v>253</v>
      </c>
      <c r="H4" s="22" t="s">
        <v>254</v>
      </c>
    </row>
    <row r="5" customFormat="false" ht="15" hidden="false" customHeight="false" outlineLevel="0" collapsed="false">
      <c r="A5" s="5" t="s">
        <v>64</v>
      </c>
      <c r="B5" s="14" t="n">
        <v>4058090</v>
      </c>
      <c r="C5" s="14" t="n">
        <v>59091</v>
      </c>
      <c r="D5" s="14" t="n">
        <v>50600</v>
      </c>
      <c r="E5" s="14" t="n">
        <v>42430</v>
      </c>
      <c r="F5" s="31" t="n">
        <f aca="false">SUM(B5:E5)</f>
        <v>4210211</v>
      </c>
      <c r="G5" s="14" t="n">
        <v>18957310</v>
      </c>
      <c r="H5" s="45" t="n">
        <f aca="false">IF(G5&gt;0,F5/G5,0)</f>
        <v>0.222089051663976</v>
      </c>
    </row>
    <row r="6" customFormat="false" ht="15" hidden="false" customHeight="false" outlineLevel="0" collapsed="false">
      <c r="A6" s="5" t="s">
        <v>255</v>
      </c>
      <c r="B6" s="14" t="n">
        <v>3462385</v>
      </c>
      <c r="C6" s="14" t="n">
        <v>169269</v>
      </c>
      <c r="D6" s="14" t="n">
        <v>39700</v>
      </c>
      <c r="E6" s="14" t="n">
        <v>43931</v>
      </c>
      <c r="F6" s="31" t="n">
        <f aca="false">SUM(B6:E6)</f>
        <v>3715285</v>
      </c>
      <c r="G6" s="14" t="n">
        <v>18027990</v>
      </c>
      <c r="H6" s="45" t="n">
        <f aca="false">IF(G6&gt;0,F6/G6,0)</f>
        <v>0.206084261196062</v>
      </c>
    </row>
    <row r="7" customFormat="false" ht="15" hidden="false" customHeight="false" outlineLevel="0" collapsed="false">
      <c r="A7" s="5" t="s">
        <v>256</v>
      </c>
      <c r="B7" s="14" t="n">
        <v>1770967</v>
      </c>
      <c r="C7" s="14" t="n">
        <v>98042</v>
      </c>
      <c r="D7" s="14" t="n">
        <v>30650</v>
      </c>
      <c r="E7" s="14" t="n">
        <v>38964</v>
      </c>
      <c r="F7" s="31" t="n">
        <f aca="false">SUM(B7:E7)</f>
        <v>1938623</v>
      </c>
      <c r="G7" s="14" t="n">
        <v>8216770</v>
      </c>
      <c r="H7" s="45" t="n">
        <f aca="false">IF(G7&gt;0,F7/G7,0)</f>
        <v>0.235934923333621</v>
      </c>
    </row>
    <row r="8" customFormat="false" ht="15" hidden="false" customHeight="false" outlineLevel="0" collapsed="false">
      <c r="A8" s="5" t="s">
        <v>257</v>
      </c>
      <c r="B8" s="14" t="n">
        <v>328739</v>
      </c>
      <c r="C8" s="14" t="n">
        <v>0</v>
      </c>
      <c r="D8" s="14" t="n">
        <v>1600</v>
      </c>
      <c r="E8" s="14" t="n">
        <v>251</v>
      </c>
      <c r="F8" s="31" t="n">
        <f aca="false">SUM(B8:E8)</f>
        <v>330590</v>
      </c>
      <c r="G8" s="14" t="n">
        <v>1359520</v>
      </c>
      <c r="H8" s="45" t="n">
        <f aca="false">IF(G8&gt;0,F8/G8,0)</f>
        <v>0.243166705896199</v>
      </c>
    </row>
    <row r="9" customFormat="false" ht="15" hidden="false" customHeight="false" outlineLevel="0" collapsed="false">
      <c r="A9" s="5" t="s">
        <v>258</v>
      </c>
      <c r="B9" s="14" t="n">
        <v>741047</v>
      </c>
      <c r="C9" s="14" t="n">
        <v>166336</v>
      </c>
      <c r="D9" s="14" t="n">
        <v>83000</v>
      </c>
      <c r="E9" s="14" t="n">
        <v>15020</v>
      </c>
      <c r="F9" s="31" t="n">
        <f aca="false">SUM(B9:E9)</f>
        <v>1005403</v>
      </c>
      <c r="G9" s="14" t="n">
        <v>8444940</v>
      </c>
      <c r="H9" s="45" t="n">
        <f aca="false">IF(G9&gt;0,F9/G9,0)</f>
        <v>0.11905389499511</v>
      </c>
    </row>
    <row r="10" customFormat="false" ht="15" hidden="false" customHeight="false" outlineLevel="0" collapsed="false">
      <c r="A10" s="5" t="s">
        <v>259</v>
      </c>
      <c r="B10" s="14" t="n">
        <v>0</v>
      </c>
      <c r="C10" s="14" t="n">
        <v>1848</v>
      </c>
      <c r="D10" s="14" t="n">
        <v>0</v>
      </c>
      <c r="E10" s="14" t="n">
        <v>0</v>
      </c>
      <c r="F10" s="31" t="n">
        <f aca="false">SUM(B10:E10)</f>
        <v>1848</v>
      </c>
      <c r="G10" s="14" t="n">
        <v>0</v>
      </c>
      <c r="H10" s="45" t="n">
        <f aca="false">IF(G10&gt;0,F10/G10,0)</f>
        <v>0</v>
      </c>
    </row>
    <row r="11" customFormat="false" ht="15" hidden="false" customHeight="false" outlineLevel="0" collapsed="false">
      <c r="A11" s="37" t="s">
        <v>113</v>
      </c>
      <c r="B11" s="28" t="n">
        <f aca="false">SUM(B5:B10)</f>
        <v>10361228</v>
      </c>
      <c r="C11" s="28" t="n">
        <f aca="false">SUM(C5:C10)</f>
        <v>494586</v>
      </c>
      <c r="D11" s="28" t="n">
        <f aca="false">SUM(D5:D10)</f>
        <v>205550</v>
      </c>
      <c r="E11" s="28" t="n">
        <f aca="false">SUM(E5:E10)</f>
        <v>140596</v>
      </c>
      <c r="F11" s="28" t="n">
        <f aca="false">SUM(F5:F10)</f>
        <v>11201960</v>
      </c>
      <c r="G11" s="28" t="n">
        <f aca="false">SUM(G5:G10)</f>
        <v>55006530</v>
      </c>
      <c r="H11" s="38" t="n">
        <f aca="false">IF(G11&gt;0,F11/G11,0)</f>
        <v>0.203647821449562</v>
      </c>
    </row>
    <row r="12" customFormat="false" ht="15" hidden="false" customHeight="false" outlineLevel="0" collapsed="false">
      <c r="A12" s="37" t="s">
        <v>260</v>
      </c>
      <c r="F12" s="28" t="n">
        <f aca="false">F5+F6+F7+F8</f>
        <v>10194709</v>
      </c>
      <c r="G12" s="28" t="n">
        <f aca="false">G5+G6+G7+G8</f>
        <v>46561590</v>
      </c>
      <c r="H12" s="38" t="n">
        <f aca="false">IF(G12&gt;0,F12/G12,0)</f>
        <v>0.218951049566821</v>
      </c>
    </row>
    <row r="14" customFormat="false" ht="15" hidden="false" customHeight="false" outlineLevel="0" collapsed="false">
      <c r="A14" s="12" t="s">
        <v>261</v>
      </c>
    </row>
    <row r="15" customFormat="false" ht="23.85" hidden="false" customHeight="false" outlineLevel="0" collapsed="false">
      <c r="A15" s="22" t="s">
        <v>262</v>
      </c>
      <c r="B15" s="22" t="s">
        <v>263</v>
      </c>
      <c r="C15" s="22" t="s">
        <v>264</v>
      </c>
      <c r="D15" s="22" t="s">
        <v>265</v>
      </c>
      <c r="E15" s="22" t="s">
        <v>266</v>
      </c>
      <c r="F15" s="22" t="s">
        <v>267</v>
      </c>
      <c r="G15" s="22" t="s">
        <v>268</v>
      </c>
      <c r="H15" s="22" t="s">
        <v>269</v>
      </c>
    </row>
    <row r="16" customFormat="false" ht="15" hidden="false" customHeight="false" outlineLevel="0" collapsed="false">
      <c r="A16" s="5" t="s">
        <v>270</v>
      </c>
      <c r="B16" s="14" t="n">
        <v>3789397</v>
      </c>
      <c r="C16" s="14" t="n">
        <v>11665</v>
      </c>
      <c r="D16" s="14" t="n">
        <v>325</v>
      </c>
      <c r="E16" s="14" t="n">
        <v>155</v>
      </c>
      <c r="F16" s="14" t="n">
        <v>17357910</v>
      </c>
      <c r="G16" s="46" t="n">
        <f aca="false">IF(F16&gt;0,B16/F16,0)</f>
        <v>0.218309519982532</v>
      </c>
      <c r="H16" s="47" t="n">
        <f aca="false">IF(C16&gt;0,E16/C16,0)</f>
        <v>0.0132876125160737</v>
      </c>
    </row>
    <row r="17" customFormat="false" ht="15" hidden="false" customHeight="false" outlineLevel="0" collapsed="false">
      <c r="A17" s="5" t="s">
        <v>271</v>
      </c>
      <c r="B17" s="14" t="n">
        <v>1744772</v>
      </c>
      <c r="C17" s="14" t="n">
        <v>12215</v>
      </c>
      <c r="D17" s="14" t="n">
        <v>143</v>
      </c>
      <c r="E17" s="14" t="n">
        <v>460</v>
      </c>
      <c r="F17" s="14" t="n">
        <v>6375790</v>
      </c>
      <c r="G17" s="46" t="n">
        <f aca="false">IF(F17&gt;0,B17/F17,0)</f>
        <v>0.273655813632507</v>
      </c>
      <c r="H17" s="47" t="n">
        <f aca="false">IF(C17&gt;0,E17/C17,0)</f>
        <v>0.0376586164551781</v>
      </c>
    </row>
    <row r="18" customFormat="false" ht="15" hidden="false" customHeight="false" outlineLevel="0" collapsed="false">
      <c r="A18" s="5" t="s">
        <v>272</v>
      </c>
      <c r="B18" s="14" t="n">
        <v>1588897</v>
      </c>
      <c r="C18" s="14" t="n">
        <v>14169</v>
      </c>
      <c r="D18" s="14" t="n">
        <v>112</v>
      </c>
      <c r="E18" s="14" t="n">
        <v>436</v>
      </c>
      <c r="F18" s="14" t="n">
        <v>6891770</v>
      </c>
      <c r="G18" s="46" t="n">
        <f aca="false">IF(F18&gt;0,B18/F18,0)</f>
        <v>0.230549916784803</v>
      </c>
      <c r="H18" s="47" t="n">
        <f aca="false">IF(C18&gt;0,E18/C18,0)</f>
        <v>0.0307714023572588</v>
      </c>
    </row>
    <row r="19" customFormat="false" ht="15" hidden="false" customHeight="false" outlineLevel="0" collapsed="false">
      <c r="A19" s="5" t="s">
        <v>273</v>
      </c>
      <c r="B19" s="14" t="n">
        <v>1501744</v>
      </c>
      <c r="C19" s="14" t="n">
        <v>12343</v>
      </c>
      <c r="D19" s="14" t="n">
        <v>122</v>
      </c>
      <c r="E19" s="14" t="n">
        <v>331</v>
      </c>
      <c r="F19" s="14" t="n">
        <v>5007400</v>
      </c>
      <c r="G19" s="46" t="n">
        <f aca="false">IF(F19&gt;0,B19/F19,0)</f>
        <v>0.299904940687782</v>
      </c>
      <c r="H19" s="47" t="n">
        <f aca="false">IF(C19&gt;0,E19/C19,0)</f>
        <v>0.0268168192497772</v>
      </c>
    </row>
    <row r="20" customFormat="false" ht="15" hidden="false" customHeight="false" outlineLevel="0" collapsed="false">
      <c r="A20" s="5" t="s">
        <v>257</v>
      </c>
      <c r="B20" s="14" t="n">
        <v>328489</v>
      </c>
      <c r="C20" s="14" t="n">
        <v>1491</v>
      </c>
      <c r="D20" s="14" t="n">
        <v>220</v>
      </c>
      <c r="E20" s="14" t="n">
        <v>39</v>
      </c>
      <c r="F20" s="14" t="n">
        <v>1101610</v>
      </c>
      <c r="G20" s="46" t="n">
        <f aca="false">IF(F20&gt;0,B20/F20,0)</f>
        <v>0.298189922023221</v>
      </c>
      <c r="H20" s="47" t="n">
        <f aca="false">IF(C20&gt;0,E20/C20,0)</f>
        <v>0.0261569416498994</v>
      </c>
    </row>
    <row r="21" customFormat="false" ht="15" hidden="false" customHeight="false" outlineLevel="0" collapsed="false">
      <c r="A21" s="5" t="s">
        <v>274</v>
      </c>
      <c r="B21" s="14" t="n">
        <v>268693</v>
      </c>
      <c r="C21" s="14" t="n">
        <v>673</v>
      </c>
      <c r="D21" s="14" t="n">
        <v>399</v>
      </c>
      <c r="E21" s="14" t="n">
        <v>5</v>
      </c>
      <c r="F21" s="14" t="n">
        <v>509590</v>
      </c>
      <c r="G21" s="46" t="n">
        <f aca="false">IF(F21&gt;0,B21/F21,0)</f>
        <v>0.527272905669264</v>
      </c>
      <c r="H21" s="47" t="n">
        <f aca="false">IF(C21&gt;0,E21/C21,0)</f>
        <v>0.00742942050520059</v>
      </c>
    </row>
    <row r="22" customFormat="false" ht="15" hidden="false" customHeight="false" outlineLevel="0" collapsed="false">
      <c r="A22" s="5" t="s">
        <v>275</v>
      </c>
      <c r="B22" s="14" t="n">
        <v>128301</v>
      </c>
      <c r="C22" s="14" t="n">
        <v>1490</v>
      </c>
      <c r="D22" s="14" t="n">
        <v>86</v>
      </c>
      <c r="E22" s="14" t="n">
        <v>47</v>
      </c>
      <c r="F22" s="14" t="n">
        <v>488530</v>
      </c>
      <c r="G22" s="46" t="n">
        <f aca="false">IF(F22&gt;0,B22/F22,0)</f>
        <v>0.262626655476634</v>
      </c>
      <c r="H22" s="47" t="n">
        <f aca="false">IF(C22&gt;0,E22/C22,0)</f>
        <v>0.0315436241610738</v>
      </c>
    </row>
    <row r="23" customFormat="false" ht="15" hidden="false" customHeight="false" outlineLevel="0" collapsed="false">
      <c r="A23" s="5" t="s">
        <v>276</v>
      </c>
      <c r="B23" s="14" t="n">
        <v>127205</v>
      </c>
      <c r="C23" s="14" t="n">
        <v>1495</v>
      </c>
      <c r="D23" s="14" t="n">
        <v>85</v>
      </c>
      <c r="E23" s="14" t="n">
        <v>52</v>
      </c>
      <c r="F23" s="14" t="n">
        <v>529480</v>
      </c>
      <c r="G23" s="46" t="n">
        <f aca="false">IF(F23&gt;0,B23/F23,0)</f>
        <v>0.240245146181159</v>
      </c>
      <c r="H23" s="47" t="n">
        <f aca="false">IF(C23&gt;0,E23/C23,0)</f>
        <v>0.0347826086956522</v>
      </c>
    </row>
    <row r="24" customFormat="false" ht="15" hidden="false" customHeight="false" outlineLevel="0" collapsed="false">
      <c r="A24" s="5" t="s">
        <v>277</v>
      </c>
      <c r="B24" s="14" t="n">
        <v>59780</v>
      </c>
      <c r="C24" s="14" t="n">
        <v>880</v>
      </c>
      <c r="D24" s="14" t="n">
        <v>68</v>
      </c>
      <c r="E24" s="14" t="n">
        <v>16</v>
      </c>
      <c r="F24" s="14" t="n">
        <v>258729</v>
      </c>
      <c r="G24" s="46" t="n">
        <f aca="false">IF(F24&gt;0,B24/F24,0)</f>
        <v>0.231052568517638</v>
      </c>
      <c r="H24" s="47" t="n">
        <f aca="false">IF(C24&gt;0,E24/C24,0)</f>
        <v>0.0181818181818182</v>
      </c>
    </row>
    <row r="25" customFormat="false" ht="15" hidden="false" customHeight="false" outlineLevel="0" collapsed="false">
      <c r="A25" s="5" t="s">
        <v>278</v>
      </c>
      <c r="B25" s="14" t="n">
        <v>59234</v>
      </c>
      <c r="C25" s="14" t="n">
        <v>483</v>
      </c>
      <c r="D25" s="14" t="n">
        <v>123</v>
      </c>
      <c r="E25" s="14" t="n">
        <v>18</v>
      </c>
      <c r="F25" s="14" t="n">
        <v>563810</v>
      </c>
      <c r="G25" s="46" t="n">
        <f aca="false">IF(F25&gt;0,B25/F25,0)</f>
        <v>0.105060215320764</v>
      </c>
      <c r="H25" s="47" t="n">
        <f aca="false">IF(C25&gt;0,E25/C25,0)</f>
        <v>0.0372670807453416</v>
      </c>
    </row>
    <row r="27" customFormat="false" ht="15" hidden="false" customHeight="false" outlineLevel="0" collapsed="false">
      <c r="A27" s="20" t="s">
        <v>211</v>
      </c>
    </row>
    <row r="28" customFormat="false" ht="15" hidden="false" customHeight="false" outlineLevel="0" collapsed="false">
      <c r="A28" s="5" t="s">
        <v>279</v>
      </c>
    </row>
    <row r="29" customFormat="false" ht="15" hidden="false" customHeight="false" outlineLevel="0" collapsed="false">
      <c r="A29" s="5" t="s">
        <v>280</v>
      </c>
    </row>
    <row r="30" customFormat="false" ht="15" hidden="false" customHeight="false" outlineLevel="0" collapsed="false">
      <c r="A30" s="5" t="s">
        <v>281</v>
      </c>
    </row>
    <row r="31" customFormat="false" ht="15" hidden="false" customHeight="false" outlineLevel="0" collapsed="false">
      <c r="A31" s="5" t="s">
        <v>282</v>
      </c>
    </row>
    <row r="32" customFormat="false" ht="15" hidden="false" customHeight="false" outlineLevel="0" collapsed="false">
      <c r="A32" s="5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31.5" hidden="false" customHeight="true" outlineLevel="0" collapsed="false">
      <c r="A4" s="22" t="s">
        <v>180</v>
      </c>
      <c r="B4" s="22" t="s">
        <v>197</v>
      </c>
      <c r="C4" s="22" t="s">
        <v>198</v>
      </c>
      <c r="D4" s="22" t="s">
        <v>195</v>
      </c>
      <c r="E4" s="22" t="s">
        <v>286</v>
      </c>
      <c r="F4" s="22" t="s">
        <v>287</v>
      </c>
      <c r="G4" s="22" t="s">
        <v>156</v>
      </c>
      <c r="H4" s="22" t="s">
        <v>288</v>
      </c>
      <c r="I4" s="22" t="s">
        <v>160</v>
      </c>
      <c r="J4" s="22" t="s">
        <v>289</v>
      </c>
      <c r="K4" s="22" t="s">
        <v>290</v>
      </c>
      <c r="L4" s="22" t="s">
        <v>291</v>
      </c>
      <c r="M4" s="22" t="s">
        <v>292</v>
      </c>
    </row>
    <row r="5" customFormat="false" ht="15" hidden="false" customHeight="false" outlineLevel="0" collapsed="false">
      <c r="A5" s="5" t="s">
        <v>64</v>
      </c>
      <c r="B5" s="14" t="n">
        <v>170</v>
      </c>
      <c r="C5" s="30" t="n">
        <f aca="false">IF(B5&gt;0,D5/B5,0)</f>
        <v>111513.588235294</v>
      </c>
      <c r="D5" s="14" t="n">
        <v>18957310</v>
      </c>
      <c r="E5" s="14" t="n">
        <v>50000</v>
      </c>
      <c r="F5" s="30" t="n">
        <f aca="false">B5*E5</f>
        <v>8500000</v>
      </c>
      <c r="G5" s="30" t="n">
        <f aca="false">D5*0.109</f>
        <v>2066346.79</v>
      </c>
      <c r="H5" s="14" t="n">
        <v>328342</v>
      </c>
      <c r="I5" s="27" t="n">
        <f aca="false">'Анализ маркетинга'!F5*D5/18957310</f>
        <v>4210211</v>
      </c>
      <c r="J5" s="30" t="n">
        <f aca="false">D5*Допущения!$B$37</f>
        <v>758292.4</v>
      </c>
      <c r="K5" s="31" t="n">
        <f aca="false">D5-F5-G5-H5-I5-J5</f>
        <v>3094117.81</v>
      </c>
      <c r="L5" s="46" t="n">
        <f aca="false">IF(D5&gt;0,K5/D5,0)</f>
        <v>0.163215024178008</v>
      </c>
      <c r="M5" s="46" t="n">
        <f aca="false">IF(E5&gt;0,(C5-E5)/E5,0)</f>
        <v>1.23027176470588</v>
      </c>
    </row>
    <row r="6" customFormat="false" ht="15" hidden="false" customHeight="false" outlineLevel="0" collapsed="false">
      <c r="A6" s="5" t="s">
        <v>65</v>
      </c>
      <c r="B6" s="14" t="n">
        <v>562</v>
      </c>
      <c r="C6" s="30" t="n">
        <f aca="false">IF(B6&gt;0,D6/B6,0)</f>
        <v>11344.0925266904</v>
      </c>
      <c r="D6" s="14" t="n">
        <v>6375380</v>
      </c>
      <c r="E6" s="14" t="n">
        <v>4000</v>
      </c>
      <c r="F6" s="30" t="n">
        <f aca="false">B6*E6</f>
        <v>2248000</v>
      </c>
      <c r="G6" s="30" t="n">
        <f aca="false">D6*0.113</f>
        <v>720417.94</v>
      </c>
      <c r="H6" s="14" t="n">
        <v>560941</v>
      </c>
      <c r="I6" s="27" t="n">
        <f aca="false">'Анализ маркетинга'!F6*D6/18027990</f>
        <v>1313865.47714415</v>
      </c>
      <c r="J6" s="30" t="n">
        <f aca="false">D6*Допущения!$B$37</f>
        <v>255015.2</v>
      </c>
      <c r="K6" s="31" t="n">
        <f aca="false">D6-F6-G6-H6-I6-J6</f>
        <v>1277140.38285585</v>
      </c>
      <c r="L6" s="46" t="n">
        <f aca="false">IF(D6&gt;0,K6/D6,0)</f>
        <v>0.200323805460357</v>
      </c>
      <c r="M6" s="46" t="n">
        <f aca="false">IF(E6&gt;0,(C6-E6)/E6,0)</f>
        <v>1.8360231316726</v>
      </c>
    </row>
    <row r="7" customFormat="false" ht="15" hidden="false" customHeight="false" outlineLevel="0" collapsed="false">
      <c r="A7" s="5" t="s">
        <v>66</v>
      </c>
      <c r="B7" s="14" t="n">
        <v>629</v>
      </c>
      <c r="C7" s="30" t="n">
        <f aca="false">IF(B7&gt;0,D7/B7,0)</f>
        <v>14522.5914149444</v>
      </c>
      <c r="D7" s="14" t="n">
        <v>9134710</v>
      </c>
      <c r="E7" s="14" t="n">
        <v>5000</v>
      </c>
      <c r="F7" s="30" t="n">
        <f aca="false">B7*E7</f>
        <v>3145000</v>
      </c>
      <c r="G7" s="30" t="n">
        <f aca="false">D7*0.113</f>
        <v>1032222.23</v>
      </c>
      <c r="H7" s="14" t="n">
        <v>867905</v>
      </c>
      <c r="I7" s="27" t="n">
        <f aca="false">'Анализ маркетинга'!F6*D7/18027990</f>
        <v>1882519.96159028</v>
      </c>
      <c r="J7" s="30" t="n">
        <f aca="false">D7*Допущения!$B$37</f>
        <v>365388.4</v>
      </c>
      <c r="K7" s="31" t="n">
        <f aca="false">D7-F7-G7-H7-I7-J7</f>
        <v>1841674.40840972</v>
      </c>
      <c r="L7" s="46" t="n">
        <f aca="false">IF(D7&gt;0,K7/D7,0)</f>
        <v>0.201612794320752</v>
      </c>
      <c r="M7" s="46" t="n">
        <f aca="false">IF(E7&gt;0,(C7-E7)/E7,0)</f>
        <v>1.90451828298887</v>
      </c>
    </row>
    <row r="8" customFormat="false" ht="15" hidden="false" customHeight="false" outlineLevel="0" collapsed="false">
      <c r="A8" s="5" t="s">
        <v>293</v>
      </c>
      <c r="B8" s="14" t="n">
        <v>65</v>
      </c>
      <c r="C8" s="30" t="n">
        <f aca="false">IF(B8&gt;0,D8/B8,0)</f>
        <v>15117.6923076923</v>
      </c>
      <c r="D8" s="14" t="n">
        <v>982650</v>
      </c>
      <c r="E8" s="14" t="n">
        <v>5300</v>
      </c>
      <c r="F8" s="30" t="n">
        <f aca="false">B8*E8</f>
        <v>344500</v>
      </c>
      <c r="G8" s="30" t="n">
        <f aca="false">D8*0.113</f>
        <v>111039.45</v>
      </c>
      <c r="H8" s="14" t="n">
        <v>87753</v>
      </c>
      <c r="I8" s="27" t="n">
        <f aca="false">'Анализ маркетинга'!F6*D8/18027990</f>
        <v>202508.699264311</v>
      </c>
      <c r="J8" s="30" t="n">
        <f aca="false">D8*Допущения!$B$37</f>
        <v>39306</v>
      </c>
      <c r="K8" s="31" t="n">
        <f aca="false">D8-F8-G8-H8-I8-J8</f>
        <v>197542.850735689</v>
      </c>
      <c r="L8" s="46" t="n">
        <f aca="false">IF(D8&gt;0,K8/D8,0)</f>
        <v>0.20103073397007</v>
      </c>
      <c r="M8" s="46" t="n">
        <f aca="false">IF(E8&gt;0,(C8-E8)/E8,0)</f>
        <v>1.85239477503628</v>
      </c>
    </row>
    <row r="9" customFormat="false" ht="15" hidden="false" customHeight="false" outlineLevel="0" collapsed="false">
      <c r="A9" s="5" t="s">
        <v>294</v>
      </c>
      <c r="B9" s="14" t="n">
        <v>37</v>
      </c>
      <c r="C9" s="30" t="n">
        <f aca="false">IF(B9&gt;0,D9/B9,0)</f>
        <v>31280.5405405405</v>
      </c>
      <c r="D9" s="14" t="n">
        <v>1157380</v>
      </c>
      <c r="E9" s="14" t="n">
        <v>16000</v>
      </c>
      <c r="F9" s="30" t="n">
        <f aca="false">B9*E9</f>
        <v>592000</v>
      </c>
      <c r="G9" s="30" t="n">
        <f aca="false">D9*0.113</f>
        <v>130783.94</v>
      </c>
      <c r="H9" s="14" t="n">
        <v>53092</v>
      </c>
      <c r="I9" s="27" t="n">
        <f aca="false">'Анализ маркетинга'!F6*D9/18027990</f>
        <v>238517.802223099</v>
      </c>
      <c r="J9" s="30" t="n">
        <f aca="false">D9*Допущения!$B$37</f>
        <v>46295.2</v>
      </c>
      <c r="K9" s="31" t="n">
        <f aca="false">D9-F9-G9-H9-I9-J9</f>
        <v>96691.0577769014</v>
      </c>
      <c r="L9" s="46" t="n">
        <f aca="false">IF(D9&gt;0,K9/D9,0)</f>
        <v>0.0835430522187193</v>
      </c>
      <c r="M9" s="46" t="n">
        <f aca="false">IF(E9&gt;0,(C9-E9)/E9,0)</f>
        <v>0.955033783783784</v>
      </c>
    </row>
    <row r="10" customFormat="false" ht="15" hidden="false" customHeight="false" outlineLevel="0" collapsed="false">
      <c r="A10" s="5" t="s">
        <v>295</v>
      </c>
      <c r="B10" s="14" t="n">
        <v>13</v>
      </c>
      <c r="C10" s="30" t="n">
        <f aca="false">IF(B10&gt;0,D10/B10,0)</f>
        <v>29066.9230769231</v>
      </c>
      <c r="D10" s="14" t="n">
        <v>377870</v>
      </c>
      <c r="E10" s="14" t="n">
        <v>15900</v>
      </c>
      <c r="F10" s="30" t="n">
        <f aca="false">B10*E10</f>
        <v>206700</v>
      </c>
      <c r="G10" s="30" t="n">
        <f aca="false">D10*0.113</f>
        <v>42699.31</v>
      </c>
      <c r="H10" s="14" t="n">
        <v>18895</v>
      </c>
      <c r="I10" s="27" t="n">
        <f aca="false">'Анализ маркетинга'!F6*D10/18027990</f>
        <v>77873.0597781561</v>
      </c>
      <c r="J10" s="30" t="n">
        <f aca="false">D10*Допущения!$B$37</f>
        <v>15114.8</v>
      </c>
      <c r="K10" s="31" t="n">
        <f aca="false">D10-F10-G10-H10-I10-J10</f>
        <v>16587.8302218439</v>
      </c>
      <c r="L10" s="46" t="n">
        <f aca="false">IF(D10&gt;0,K10/D10,0)</f>
        <v>0.0438982460154125</v>
      </c>
      <c r="M10" s="46" t="n">
        <f aca="false">IF(E10&gt;0,(C10-E10)/E10,0)</f>
        <v>0.828108369617804</v>
      </c>
    </row>
    <row r="11" customFormat="false" ht="15" hidden="false" customHeight="false" outlineLevel="0" collapsed="false">
      <c r="A11" s="5" t="s">
        <v>189</v>
      </c>
      <c r="B11" s="14" t="n">
        <v>454</v>
      </c>
      <c r="C11" s="30" t="n">
        <f aca="false">IF(B11&gt;0,D11/B11,0)</f>
        <v>15172.0264317181</v>
      </c>
      <c r="D11" s="14" t="n">
        <v>6888100</v>
      </c>
      <c r="E11" s="14" t="n">
        <v>6300</v>
      </c>
      <c r="F11" s="30" t="n">
        <f aca="false">B11*E11</f>
        <v>2860200</v>
      </c>
      <c r="G11" s="30" t="n">
        <f aca="false">D11*0.109</f>
        <v>750802.9</v>
      </c>
      <c r="H11" s="14" t="n">
        <v>679656</v>
      </c>
      <c r="I11" s="27" t="n">
        <f aca="false">'Анализ маркетинга'!F7*D11/8216770</f>
        <v>1625143.34541432</v>
      </c>
      <c r="J11" s="30" t="n">
        <f aca="false">D11*Допущения!$B$37</f>
        <v>275524</v>
      </c>
      <c r="K11" s="31" t="n">
        <f aca="false">D11-F11-G11-H11-I11-J11</f>
        <v>696773.754585683</v>
      </c>
      <c r="L11" s="46" t="n">
        <f aca="false">IF(D11&gt;0,K11/D11,0)</f>
        <v>0.101156161290586</v>
      </c>
      <c r="M11" s="46" t="n">
        <f aca="false">IF(E11&gt;0,(C11-E11)/E11,0)</f>
        <v>1.40825816376477</v>
      </c>
    </row>
    <row r="12" customFormat="false" ht="15" hidden="false" customHeight="false" outlineLevel="0" collapsed="false">
      <c r="A12" s="5" t="s">
        <v>190</v>
      </c>
      <c r="B12" s="14" t="n">
        <v>133</v>
      </c>
      <c r="C12" s="30" t="n">
        <f aca="false">IF(B12&gt;0,D12/B12,0)</f>
        <v>9990</v>
      </c>
      <c r="D12" s="14" t="n">
        <v>1328670</v>
      </c>
      <c r="E12" s="14" t="n">
        <v>5200</v>
      </c>
      <c r="F12" s="30" t="n">
        <f aca="false">B12*E12</f>
        <v>691600</v>
      </c>
      <c r="G12" s="30" t="n">
        <f aca="false">D12*0.109</f>
        <v>144825.03</v>
      </c>
      <c r="H12" s="14" t="n">
        <v>120855</v>
      </c>
      <c r="I12" s="27" t="n">
        <f aca="false">'Анализ маркетинга'!F7*D12/8216770</f>
        <v>313479.654585683</v>
      </c>
      <c r="J12" s="30" t="n">
        <f aca="false">D12*Допущения!$B$37</f>
        <v>53146.8</v>
      </c>
      <c r="K12" s="31" t="n">
        <f aca="false">D12-F12-G12-H12-I12-J12</f>
        <v>4763.5154143173</v>
      </c>
      <c r="L12" s="46" t="n">
        <f aca="false">IF(D12&gt;0,K12/D12,0)</f>
        <v>0.00358517571279347</v>
      </c>
      <c r="M12" s="46" t="n">
        <f aca="false">IF(E12&gt;0,(C12-E12)/E12,0)</f>
        <v>0.921153846153846</v>
      </c>
    </row>
    <row r="13" customFormat="false" ht="15" hidden="false" customHeight="false" outlineLevel="0" collapsed="false">
      <c r="A13" s="5" t="s">
        <v>194</v>
      </c>
      <c r="B13" s="14" t="n">
        <v>48</v>
      </c>
      <c r="C13" s="30" t="n">
        <f aca="false">IF(B13&gt;0,D13/B13,0)</f>
        <v>28323.3333333333</v>
      </c>
      <c r="D13" s="14" t="n">
        <v>1359520</v>
      </c>
      <c r="E13" s="14" t="n">
        <v>12000</v>
      </c>
      <c r="F13" s="30" t="n">
        <f aca="false">B13*E13</f>
        <v>576000</v>
      </c>
      <c r="G13" s="30" t="n">
        <f aca="false">D13*0.109</f>
        <v>148187.68</v>
      </c>
      <c r="H13" s="14" t="n">
        <v>90259</v>
      </c>
      <c r="I13" s="27" t="n">
        <f aca="false">'Анализ маркетинга'!F8*D13/1359520</f>
        <v>330590</v>
      </c>
      <c r="J13" s="30" t="n">
        <f aca="false">D13*Допущения!$B$37</f>
        <v>54380.8</v>
      </c>
      <c r="K13" s="31" t="n">
        <f aca="false">D13-F13-G13-H13-I13-J13</f>
        <v>160102.52</v>
      </c>
      <c r="L13" s="46" t="n">
        <f aca="false">IF(D13&gt;0,K13/D13,0)</f>
        <v>0.117764004942921</v>
      </c>
      <c r="M13" s="46" t="n">
        <f aca="false">IF(E13&gt;0,(C13-E13)/E13,0)</f>
        <v>1.36027777777778</v>
      </c>
    </row>
    <row r="14" customFormat="false" ht="15" hidden="false" customHeight="false" outlineLevel="0" collapsed="false">
      <c r="A14" s="37" t="s">
        <v>296</v>
      </c>
      <c r="B14" s="28" t="n">
        <f aca="false">SUM(B5:B13)</f>
        <v>2111</v>
      </c>
      <c r="C14" s="43"/>
      <c r="D14" s="28" t="n">
        <f aca="false">SUM(D5:D13)</f>
        <v>46561590</v>
      </c>
      <c r="E14" s="43"/>
      <c r="F14" s="28" t="n">
        <f aca="false">SUM(F5:F13)</f>
        <v>19164000</v>
      </c>
      <c r="G14" s="28" t="n">
        <f aca="false">SUM(G5:G13)</f>
        <v>5147325.27</v>
      </c>
      <c r="H14" s="28" t="n">
        <f aca="false">SUM(H5:H13)</f>
        <v>2807698</v>
      </c>
      <c r="I14" s="28" t="n">
        <f aca="false">SUM(I5:I13)</f>
        <v>10194709</v>
      </c>
      <c r="J14" s="28" t="n">
        <f aca="false">SUM(J5:J13)</f>
        <v>1862463.6</v>
      </c>
      <c r="K14" s="28" t="n">
        <f aca="false">SUM(K5:K13)</f>
        <v>7385394.13</v>
      </c>
      <c r="L14" s="38" t="n">
        <f aca="false">IF(D14&gt;0,K14/D14,0)</f>
        <v>0.158615591306053</v>
      </c>
      <c r="M14" s="43"/>
    </row>
    <row r="15" customFormat="false" ht="15" hidden="false" customHeight="false" outlineLevel="0" collapsed="false">
      <c r="A15" s="5" t="s">
        <v>297</v>
      </c>
      <c r="K15" s="30" t="n">
        <f aca="false">-8*Допущения!$B$38</f>
        <v>-2400000</v>
      </c>
    </row>
    <row r="16" customFormat="false" ht="15" hidden="false" customHeight="false" outlineLevel="0" collapsed="false">
      <c r="A16" s="12" t="s">
        <v>298</v>
      </c>
      <c r="K16" s="33" t="n">
        <f aca="false">K14+K15</f>
        <v>4985394.13</v>
      </c>
    </row>
    <row r="19" customFormat="false" ht="15" hidden="false" customHeight="false" outlineLevel="0" collapsed="false">
      <c r="A19" s="12" t="s">
        <v>299</v>
      </c>
    </row>
    <row r="20" customFormat="false" ht="15" hidden="false" customHeight="false" outlineLevel="0" collapsed="false">
      <c r="A20" s="22" t="s">
        <v>180</v>
      </c>
      <c r="B20" s="22" t="s">
        <v>181</v>
      </c>
      <c r="C20" s="22" t="s">
        <v>182</v>
      </c>
      <c r="D20" s="22" t="s">
        <v>183</v>
      </c>
      <c r="E20" s="22" t="s">
        <v>184</v>
      </c>
      <c r="F20" s="22" t="s">
        <v>185</v>
      </c>
      <c r="G20" s="22" t="s">
        <v>186</v>
      </c>
      <c r="H20" s="22" t="s">
        <v>187</v>
      </c>
      <c r="I20" s="22" t="s">
        <v>188</v>
      </c>
    </row>
    <row r="21" customFormat="false" ht="15" hidden="false" customHeight="false" outlineLevel="0" collapsed="false">
      <c r="A21" s="5" t="s">
        <v>64</v>
      </c>
      <c r="F21" s="14" t="n">
        <v>103529</v>
      </c>
      <c r="G21" s="14" t="n">
        <v>109990</v>
      </c>
      <c r="H21" s="14" t="n">
        <v>111990</v>
      </c>
      <c r="I21" s="14" t="n">
        <v>124956</v>
      </c>
    </row>
    <row r="22" customFormat="false" ht="15" hidden="false" customHeight="false" outlineLevel="0" collapsed="false">
      <c r="A22" s="5" t="s">
        <v>65</v>
      </c>
      <c r="D22" s="14" t="n">
        <v>9990</v>
      </c>
      <c r="E22" s="14" t="n">
        <v>10148</v>
      </c>
      <c r="F22" s="14" t="n">
        <v>9990</v>
      </c>
      <c r="G22" s="14" t="n">
        <v>13117</v>
      </c>
      <c r="H22" s="14" t="n">
        <v>14990</v>
      </c>
    </row>
    <row r="23" customFormat="false" ht="15" hidden="false" customHeight="false" outlineLevel="0" collapsed="false">
      <c r="A23" s="5" t="s">
        <v>66</v>
      </c>
      <c r="B23" s="14" t="n">
        <v>14990</v>
      </c>
      <c r="C23" s="14" t="n">
        <v>14990</v>
      </c>
      <c r="D23" s="14" t="n">
        <v>14990</v>
      </c>
      <c r="E23" s="14" t="n">
        <v>13261</v>
      </c>
      <c r="F23" s="14" t="n">
        <v>13923</v>
      </c>
      <c r="G23" s="14" t="n">
        <v>14990</v>
      </c>
      <c r="H23" s="14" t="n">
        <v>15148</v>
      </c>
      <c r="I23" s="14" t="n">
        <v>14990</v>
      </c>
    </row>
    <row r="24" customFormat="false" ht="15" hidden="false" customHeight="false" outlineLevel="0" collapsed="false">
      <c r="A24" s="5" t="s">
        <v>189</v>
      </c>
      <c r="B24" s="14" t="n">
        <v>14990</v>
      </c>
      <c r="C24" s="14" t="n">
        <v>14990</v>
      </c>
      <c r="D24" s="14" t="n">
        <v>15590</v>
      </c>
      <c r="E24" s="14" t="n">
        <v>15370</v>
      </c>
      <c r="F24" s="14" t="n">
        <v>14482</v>
      </c>
      <c r="G24" s="14" t="n">
        <v>15000</v>
      </c>
      <c r="H24" s="14" t="n">
        <v>17101</v>
      </c>
      <c r="I24" s="14" t="n">
        <v>17990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4"/>
  </cols>
  <sheetData>
    <row r="1" customFormat="false" ht="17.3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301</v>
      </c>
    </row>
    <row r="4" customFormat="false" ht="15" hidden="false" customHeight="false" outlineLevel="0" collapsed="false">
      <c r="A4" s="22" t="s">
        <v>63</v>
      </c>
      <c r="B4" s="22" t="s">
        <v>302</v>
      </c>
      <c r="C4" s="22" t="s">
        <v>303</v>
      </c>
      <c r="D4" s="22" t="s">
        <v>304</v>
      </c>
    </row>
    <row r="5" customFormat="false" ht="15" hidden="false" customHeight="false" outlineLevel="0" collapsed="false">
      <c r="A5" s="5" t="s">
        <v>23</v>
      </c>
      <c r="B5" s="14" t="n">
        <v>63917490</v>
      </c>
      <c r="C5" s="14" t="n">
        <v>92619592</v>
      </c>
      <c r="D5" s="14" t="n">
        <v>94644940</v>
      </c>
    </row>
    <row r="6" customFormat="false" ht="15" hidden="false" customHeight="false" outlineLevel="0" collapsed="false">
      <c r="A6" s="5" t="s">
        <v>24</v>
      </c>
      <c r="B6" s="14" t="n">
        <v>400</v>
      </c>
      <c r="C6" s="14" t="n">
        <v>583</v>
      </c>
      <c r="D6" s="14" t="n">
        <v>600</v>
      </c>
    </row>
    <row r="7" customFormat="false" ht="15" hidden="false" customHeight="false" outlineLevel="0" collapsed="false">
      <c r="A7" s="5" t="s">
        <v>19</v>
      </c>
      <c r="B7" s="14" t="n">
        <v>1490</v>
      </c>
      <c r="C7" s="14" t="n">
        <v>2130</v>
      </c>
      <c r="D7" s="14" t="n">
        <v>2140</v>
      </c>
    </row>
    <row r="8" customFormat="false" ht="15" hidden="false" customHeight="false" outlineLevel="0" collapsed="false">
      <c r="A8" s="5" t="s">
        <v>305</v>
      </c>
      <c r="B8" s="14" t="n">
        <v>2051769.99414775</v>
      </c>
      <c r="C8" s="14" t="n">
        <v>6507391.64932801</v>
      </c>
      <c r="D8" s="14" t="n">
        <v>6794967.62161103</v>
      </c>
    </row>
    <row r="9" customFormat="false" ht="15" hidden="false" customHeight="false" outlineLevel="0" collapsed="false">
      <c r="A9" s="5" t="s">
        <v>306</v>
      </c>
      <c r="B9" s="14" t="n">
        <v>1626769.99414775</v>
      </c>
      <c r="C9" s="14" t="n">
        <v>8112391.64932801</v>
      </c>
      <c r="D9" s="14" t="n">
        <v>9294967.62161103</v>
      </c>
    </row>
    <row r="10" customFormat="false" ht="15" hidden="false" customHeight="false" outlineLevel="0" collapsed="false">
      <c r="A10" s="5" t="s">
        <v>150</v>
      </c>
      <c r="B10" s="14" t="n">
        <v>2925000</v>
      </c>
      <c r="C10" s="14" t="n">
        <v>895000</v>
      </c>
      <c r="D10" s="14" t="n">
        <v>0</v>
      </c>
    </row>
    <row r="11" customFormat="false" ht="15" hidden="false" customHeight="false" outlineLevel="0" collapsed="false">
      <c r="A11" s="5" t="s">
        <v>307</v>
      </c>
      <c r="B11" s="14" t="n">
        <v>4551769.99414775</v>
      </c>
      <c r="C11" s="14" t="n">
        <v>9007391.64932801</v>
      </c>
      <c r="D11" s="14" t="n">
        <v>9294967.62161103</v>
      </c>
    </row>
    <row r="12" customFormat="false" ht="15" hidden="false" customHeight="false" outlineLevel="0" collapsed="false">
      <c r="A12" s="5" t="s">
        <v>28</v>
      </c>
      <c r="B12" s="14" t="n">
        <v>-163445.840255034</v>
      </c>
      <c r="C12" s="14" t="n">
        <v>1095000</v>
      </c>
      <c r="D12" s="14" t="n">
        <v>1095000</v>
      </c>
    </row>
    <row r="13" customFormat="false" ht="15" hidden="false" customHeight="false" outlineLevel="0" collapsed="false">
      <c r="A13" s="5" t="s">
        <v>308</v>
      </c>
      <c r="B13" s="14" t="n">
        <v>13320000</v>
      </c>
      <c r="C13" s="14" t="n">
        <v>13320000</v>
      </c>
      <c r="D13" s="14" t="n">
        <v>13320000</v>
      </c>
    </row>
    <row r="15" customFormat="false" ht="30" hidden="false" customHeight="true" outlineLevel="0" collapsed="false">
      <c r="A15" s="48" t="s">
        <v>309</v>
      </c>
      <c r="B15" s="48"/>
      <c r="C15" s="48"/>
      <c r="D15" s="48"/>
    </row>
    <row r="16" customFormat="false" ht="15" hidden="false" customHeight="false" outlineLevel="0" collapsed="false">
      <c r="A16" s="48"/>
      <c r="B16" s="48"/>
      <c r="C16" s="48"/>
      <c r="D16" s="48"/>
    </row>
    <row r="17" customFormat="false" ht="15" hidden="false" customHeight="false" outlineLevel="0" collapsed="false">
      <c r="A17" s="48"/>
      <c r="B17" s="48"/>
      <c r="C17" s="48"/>
      <c r="D17" s="48"/>
    </row>
  </sheetData>
  <mergeCells count="1">
    <mergeCell ref="A15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5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310</v>
      </c>
    </row>
    <row r="3" customFormat="false" ht="15" hidden="false" customHeight="false" outlineLevel="0" collapsed="false">
      <c r="A3" s="22" t="s">
        <v>311</v>
      </c>
      <c r="B3" s="22" t="s">
        <v>312</v>
      </c>
      <c r="C3" s="22" t="s">
        <v>313</v>
      </c>
    </row>
    <row r="4" customFormat="false" ht="61.5" hidden="false" customHeight="true" outlineLevel="0" collapsed="false">
      <c r="A4" s="49" t="s">
        <v>314</v>
      </c>
      <c r="B4" s="49" t="s">
        <v>315</v>
      </c>
      <c r="C4" s="49" t="s">
        <v>316</v>
      </c>
    </row>
    <row r="5" customFormat="false" ht="61.5" hidden="false" customHeight="true" outlineLevel="0" collapsed="false">
      <c r="A5" s="49" t="s">
        <v>317</v>
      </c>
      <c r="B5" s="49" t="s">
        <v>318</v>
      </c>
      <c r="C5" s="49" t="s">
        <v>319</v>
      </c>
    </row>
    <row r="6" customFormat="false" ht="61.5" hidden="false" customHeight="true" outlineLevel="0" collapsed="false">
      <c r="A6" s="49" t="s">
        <v>320</v>
      </c>
      <c r="B6" s="49" t="s">
        <v>321</v>
      </c>
      <c r="C6" s="49" t="s">
        <v>322</v>
      </c>
    </row>
    <row r="7" customFormat="false" ht="61.5" hidden="false" customHeight="true" outlineLevel="0" collapsed="false">
      <c r="A7" s="49" t="s">
        <v>323</v>
      </c>
      <c r="B7" s="49" t="s">
        <v>324</v>
      </c>
      <c r="C7" s="49" t="s">
        <v>325</v>
      </c>
    </row>
    <row r="8" customFormat="false" ht="61.5" hidden="false" customHeight="true" outlineLevel="0" collapsed="false">
      <c r="A8" s="49" t="s">
        <v>326</v>
      </c>
      <c r="B8" s="49" t="s">
        <v>327</v>
      </c>
      <c r="C8" s="49" t="s">
        <v>328</v>
      </c>
    </row>
    <row r="9" customFormat="false" ht="61.5" hidden="false" customHeight="true" outlineLevel="0" collapsed="false">
      <c r="A9" s="49" t="s">
        <v>329</v>
      </c>
      <c r="B9" s="49" t="s">
        <v>330</v>
      </c>
      <c r="C9" s="49" t="s">
        <v>331</v>
      </c>
    </row>
    <row r="12" customFormat="false" ht="15" hidden="false" customHeight="false" outlineLevel="0" collapsed="false">
      <c r="A12" s="12" t="s">
        <v>332</v>
      </c>
    </row>
    <row r="13" customFormat="false" ht="15" hidden="false" customHeight="false" outlineLevel="0" collapsed="false">
      <c r="A13" s="5" t="s">
        <v>333</v>
      </c>
    </row>
    <row r="14" customFormat="false" ht="15" hidden="false" customHeight="false" outlineLevel="0" collapsed="false">
      <c r="A14" s="5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2026-10-15T09:33:40Z</dcterms:created>
  <dc:creator>openpyxl</dc:creator>
  <dc:description/>
  <dc:language>en-US</dc:language>
  <cp:lastModifiedBy/>
  <dcterms:modified xsi:type="dcterms:W3CDTF">2026-10-15T09:33:43Z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